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ocom\Desktop\Others\Doings\PM Portfolio\"/>
    </mc:Choice>
  </mc:AlternateContent>
  <xr:revisionPtr revIDLastSave="0" documentId="13_ncr:1_{B2005131-EAEE-4990-AB4E-87DBCCFB0FA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📌 Instructions" sheetId="1" r:id="rId1"/>
    <sheet name="01 – Project Charter" sheetId="2" r:id="rId2"/>
    <sheet name="02 – Risk Register" sheetId="3" r:id="rId3"/>
    <sheet name="03 – Stakeholder Register" sheetId="4" r:id="rId4"/>
    <sheet name="04 – Implementation Schedule" sheetId="5" r:id="rId5"/>
  </sheets>
  <definedNames>
    <definedName name="_xlnm.Print_Area" localSheetId="1">'01 – Project Charter'!$A$1:$H$65</definedName>
    <definedName name="_xlnm.Print_Area" localSheetId="2">'02 – Risk Register'!$A$1:$M$29</definedName>
    <definedName name="_xlnm.Print_Area" localSheetId="3">'03 – Stakeholder Register'!$A$1:$L$38</definedName>
    <definedName name="_xlnm.Print_Area" localSheetId="4">'04 – Implementation Schedule'!$A$1:$K$82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" l="1"/>
  <c r="H15" i="3"/>
  <c r="G29" i="3"/>
  <c r="G28" i="3"/>
  <c r="G27" i="3"/>
  <c r="H26" i="3"/>
  <c r="G26" i="3"/>
  <c r="G25" i="3"/>
  <c r="G24" i="3"/>
  <c r="G23" i="3"/>
  <c r="G22" i="3"/>
  <c r="G21" i="3"/>
  <c r="G20" i="3"/>
  <c r="G19" i="3"/>
  <c r="G18" i="3"/>
  <c r="G17" i="3"/>
  <c r="G16" i="3"/>
  <c r="G15" i="3"/>
  <c r="E59" i="2"/>
  <c r="H29" i="3" l="1"/>
  <c r="H28" i="3"/>
  <c r="H27" i="3"/>
  <c r="H25" i="3"/>
  <c r="H24" i="3"/>
  <c r="H23" i="3"/>
  <c r="H22" i="3"/>
  <c r="H21" i="3"/>
  <c r="H20" i="3"/>
  <c r="H19" i="3"/>
  <c r="H18" i="3"/>
  <c r="H16" i="3"/>
</calcChain>
</file>

<file path=xl/sharedStrings.xml><?xml version="1.0" encoding="utf-8"?>
<sst xmlns="http://schemas.openxmlformats.org/spreadsheetml/2006/main" count="594" uniqueCount="331">
  <si>
    <t>PROJECT MANAGEMENT  —  UNIVERSAL TEMPLATE PACK</t>
  </si>
  <si>
    <t>Four templates · One workbook · Adaptable to any project type · PMI / PMBOK Aligned</t>
  </si>
  <si>
    <t>SHEET</t>
  </si>
  <si>
    <t>DESCRIPTION</t>
  </si>
  <si>
    <t>01 – Project Charter</t>
  </si>
  <si>
    <t>Formally authorises the project. Define objectives, scope, budget, team, and governance. Requires sign-off before work begins.</t>
  </si>
  <si>
    <t>02 – Risk Register</t>
  </si>
  <si>
    <t>Identify, score, and track all project risks. Risk Score auto-calculates (Likelihood × Impact). Conditional formatting highlights severity.</t>
  </si>
  <si>
    <t>03 – Stakeholder Register</t>
  </si>
  <si>
    <t>Map all stakeholders by power/interest, define engagement strategy, and track attitudes throughout the project.</t>
  </si>
  <si>
    <t>04 – Implementation Schedule</t>
  </si>
  <si>
    <t>Plan and track all phases, activities, and milestones. Dropdown Status and % Complete fields. Change log included.</t>
  </si>
  <si>
    <t>HOW TO USE THIS PACK</t>
  </si>
  <si>
    <t>1. Start with the Project Charter sheet — complete it before any other document.</t>
  </si>
  <si>
    <t>2. Open the Risk Register at project kick-off and update it at every status meeting.</t>
  </si>
  <si>
    <t>3. Complete the Stakeholder Register during initiation; update when stakeholder attitudes change.</t>
  </si>
  <si>
    <t>4. Fill in the Implementation Schedule during planning; update % Complete and Status weekly during execution.</t>
  </si>
  <si>
    <t>5. Yellow-highlighted cells are mandatory input fields throughout all sheets.</t>
  </si>
  <si>
    <t>6. Dropdown menus are provided for key fields (Status, Priority, Power/Interest, etc.).</t>
  </si>
  <si>
    <t>7. Risk Score in Sheet 02 is auto-calculated. Risk Level is auto-classified by formula.</t>
  </si>
  <si>
    <t>8. To add a new project, save a copy of this file and rename it: ProjectName_PM_Pack_v1.xlsx</t>
  </si>
  <si>
    <t>Version 1.0  ·  PMI / PMBOK Aligned  ·  June 2026  ·  Prepared by Godwin Kofi Alorvor</t>
  </si>
  <si>
    <t>Universal template — fill in the yellow-highlighted fields. Applicable to any project type.</t>
  </si>
  <si>
    <t>ℹ  INSTRUCTION: Replace all [placeholder] text. Yellow cells are mandatory fields. Delete rows that do not apply.</t>
  </si>
  <si>
    <t>1.  PROJECT IDENTIFICATION</t>
  </si>
  <si>
    <t>Project Title:</t>
  </si>
  <si>
    <t>[Enter project title]</t>
  </si>
  <si>
    <t>Project ID / Reference:</t>
  </si>
  <si>
    <t>[GCL-XXX-YYYY-001]</t>
  </si>
  <si>
    <t>Document Version:</t>
  </si>
  <si>
    <t>[v1.0]</t>
  </si>
  <si>
    <t>Project Sponsor:</t>
  </si>
  <si>
    <t>[Name &amp; Title]</t>
  </si>
  <si>
    <t>Project Manager:</t>
  </si>
  <si>
    <t>[Name]</t>
  </si>
  <si>
    <t>Start Date:</t>
  </si>
  <si>
    <t>[DD/MM/YYYY]</t>
  </si>
  <si>
    <t>Target End Date:</t>
  </si>
  <si>
    <t>Department / Division:</t>
  </si>
  <si>
    <t>[Dept]</t>
  </si>
  <si>
    <t>Organisation:</t>
  </si>
  <si>
    <t>[Org Name]</t>
  </si>
  <si>
    <t>Prepared By:</t>
  </si>
  <si>
    <t>Date Prepared:</t>
  </si>
  <si>
    <t>2.  EXECUTIVE SUMMARY</t>
  </si>
  <si>
    <t>[Provide a 2–4 sentence non-technical overview: what is being done, why, and what the expected outcome is]</t>
  </si>
  <si>
    <t>3.  BUSINESS CASE &amp; PROBLEM STATEMENT</t>
  </si>
  <si>
    <t>[Describe the problem, opportunity, or need this project addresses. Include measurable evidence where available.]</t>
  </si>
  <si>
    <t>Expected benefit: [State the measurable business improvement expected from this project]</t>
  </si>
  <si>
    <t>4.  PROJECT OBJECTIVES — Use SMART format: Specific · Measurable · Achievable · Relevant · Time-bound</t>
  </si>
  <si>
    <t>#</t>
  </si>
  <si>
    <t>Objective</t>
  </si>
  <si>
    <t>Success Metric</t>
  </si>
  <si>
    <t>Owner</t>
  </si>
  <si>
    <t>Target Date</t>
  </si>
  <si>
    <t>1</t>
  </si>
  <si>
    <t>[SMART Objective 1]</t>
  </si>
  <si>
    <t>[How will success be measured?]</t>
  </si>
  <si>
    <t>[Owner]</t>
  </si>
  <si>
    <t>[Date]</t>
  </si>
  <si>
    <t>2</t>
  </si>
  <si>
    <t>[SMART Objective 2]</t>
  </si>
  <si>
    <t>3</t>
  </si>
  <si>
    <t>[SMART Objective 3]</t>
  </si>
  <si>
    <t>4</t>
  </si>
  <si>
    <t>[SMART Objective 4]</t>
  </si>
  <si>
    <t>5</t>
  </si>
  <si>
    <t>[SMART Objective 5]</t>
  </si>
  <si>
    <t>5.  PROJECT SCOPE</t>
  </si>
  <si>
    <t>5.1  IN SCOPE</t>
  </si>
  <si>
    <t>Scope Item (What IS included)</t>
  </si>
  <si>
    <t>Notes</t>
  </si>
  <si>
    <t>[Scope item description]</t>
  </si>
  <si>
    <t>6</t>
  </si>
  <si>
    <t>5.2  OUT OF SCOPE</t>
  </si>
  <si>
    <t>Exclusion</t>
  </si>
  <si>
    <t>Reason / Deferred To</t>
  </si>
  <si>
    <t>[Exclusion item]</t>
  </si>
  <si>
    <t>[Reason / Future phase]</t>
  </si>
  <si>
    <t>6.  KEY DELIVERABLES</t>
  </si>
  <si>
    <t>Deliverable</t>
  </si>
  <si>
    <t>Description</t>
  </si>
  <si>
    <t>Due Date</t>
  </si>
  <si>
    <t>Format / Medium</t>
  </si>
  <si>
    <t>7.  BUDGET SUMMARY</t>
  </si>
  <si>
    <t>Cost Category</t>
  </si>
  <si>
    <t>Estimated Amount</t>
  </si>
  <si>
    <t>Approved?</t>
  </si>
  <si>
    <t>Personnel / Labour</t>
  </si>
  <si>
    <t>Technology / Software</t>
  </si>
  <si>
    <t>Equipment / Hardware</t>
  </si>
  <si>
    <t>Training</t>
  </si>
  <si>
    <t>Contingency Reserve (10–15%)</t>
  </si>
  <si>
    <t>TOTAL PROJECT BUDGET</t>
  </si>
  <si>
    <t>8.  PROJECT CHARTER APPROVALS</t>
  </si>
  <si>
    <t>Role</t>
  </si>
  <si>
    <t>Name</t>
  </si>
  <si>
    <t>Signature</t>
  </si>
  <si>
    <t>Date Approved</t>
  </si>
  <si>
    <t>Project Sponsor</t>
  </si>
  <si>
    <t>Project Manager</t>
  </si>
  <si>
    <t>Key Stakeholder</t>
  </si>
  <si>
    <t>Risk Score = Likelihood × Impact (1–5 scale). Scores ≥ 15 must be escalated to Project Sponsor immediately.</t>
  </si>
  <si>
    <t>ℹ  INSTRUCTION: Add one row per identified risk. Review at every project status meeting. Update Status and Last Reviewed columns weekly.</t>
  </si>
  <si>
    <t>RISK RATING GUIDE</t>
  </si>
  <si>
    <t>Rating</t>
  </si>
  <si>
    <t>Likelihood</t>
  </si>
  <si>
    <t>Impact</t>
  </si>
  <si>
    <t>Score Range</t>
  </si>
  <si>
    <t>Risk Level</t>
  </si>
  <si>
    <t>Required Action</t>
  </si>
  <si>
    <t>1 – Very Low</t>
  </si>
  <si>
    <t>Rare — unlikely to occur</t>
  </si>
  <si>
    <t>Negligible effect on objectives</t>
  </si>
  <si>
    <t>1–4</t>
  </si>
  <si>
    <t>LOW</t>
  </si>
  <si>
    <t>Monitor only — review monthly</t>
  </si>
  <si>
    <t>2 – Low</t>
  </si>
  <si>
    <t>Unlikely but possible</t>
  </si>
  <si>
    <t>Minor effect, easily managed</t>
  </si>
  <si>
    <t>5–9</t>
  </si>
  <si>
    <t>MEDIUM</t>
  </si>
  <si>
    <t>Active mitigation — assign owner</t>
  </si>
  <si>
    <t>3 – Medium</t>
  </si>
  <si>
    <t>May occur at some point</t>
  </si>
  <si>
    <t>Moderate impact on time/cost/scope</t>
  </si>
  <si>
    <t>10–14</t>
  </si>
  <si>
    <t>HIGH</t>
  </si>
  <si>
    <t>Immediate action — escalate to PM</t>
  </si>
  <si>
    <t>4 – High</t>
  </si>
  <si>
    <t>Expected to occur</t>
  </si>
  <si>
    <t>Major impact on project objectives</t>
  </si>
  <si>
    <t>15–19</t>
  </si>
  <si>
    <t>CRITICAL</t>
  </si>
  <si>
    <t>Escalate to Sponsor — contingency plan</t>
  </si>
  <si>
    <t>5 – Very High</t>
  </si>
  <si>
    <t>Almost certain</t>
  </si>
  <si>
    <t>Threatens project viability</t>
  </si>
  <si>
    <t>20–25</t>
  </si>
  <si>
    <t>Escalate to Sponsor — consider stop/go</t>
  </si>
  <si>
    <t>RISK REGISTER</t>
  </si>
  <si>
    <t>Risk ID</t>
  </si>
  <si>
    <t>Category</t>
  </si>
  <si>
    <t>Likelihood
(1–5)</t>
  </si>
  <si>
    <t>Impact
(1–5)</t>
  </si>
  <si>
    <t>Risk Score
(Auto)</t>
  </si>
  <si>
    <t>Mitigation Strategy</t>
  </si>
  <si>
    <t>Contingency Plan</t>
  </si>
  <si>
    <t>Risk Owner</t>
  </si>
  <si>
    <t>Status</t>
  </si>
  <si>
    <t>Last Reviewed</t>
  </si>
  <si>
    <t>R-001</t>
  </si>
  <si>
    <t>[Describe the risk — what could go wrong and why]</t>
  </si>
  <si>
    <t>[Mitigation actions to reduce likelihood or impact]</t>
  </si>
  <si>
    <t>[What will be done if the risk materialises?]</t>
  </si>
  <si>
    <t>OPEN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</si>
  <si>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</si>
  <si>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</si>
  <si>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</si>
  <si>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</si>
  <si>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</si>
  <si>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</si>
  <si>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</si>
  <si>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</si>
  <si>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</si>
  <si>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</si>
  <si>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</si>
  <si>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</si>
  <si>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</si>
  <si>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</si>
  <si>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Identify · Analyse · Engage · Monitor — Update whenever stakeholder roles or attitudes change.</t>
  </si>
  <si>
    <t>ℹ  INSTRUCTION: Complete Identification table first, then Engagement Strategy for all HIGH power or HIGH interest stakeholders.</t>
  </si>
  <si>
    <t>POWER / INTEREST MATRIX — Use to determine engagement strategy for each stakeholder</t>
  </si>
  <si>
    <t>Quadrant</t>
  </si>
  <si>
    <t>Power</t>
  </si>
  <si>
    <t>Interest</t>
  </si>
  <si>
    <t>Strategy</t>
  </si>
  <si>
    <t>Approach</t>
  </si>
  <si>
    <t>MANAGE CLOSELY</t>
  </si>
  <si>
    <t>High</t>
  </si>
  <si>
    <t>Active partner — involve in all key decisions</t>
  </si>
  <si>
    <t>Frequent updates, regular 1-on-1s, involve in reviews</t>
  </si>
  <si>
    <t>KEEP SATISFIED</t>
  </si>
  <si>
    <t>Low</t>
  </si>
  <si>
    <t>Meet core needs — keep informed at high level</t>
  </si>
  <si>
    <t>Periodic high-level updates; avoid overloading</t>
  </si>
  <si>
    <t>KEEP INFORMED</t>
  </si>
  <si>
    <t>Regular updates — watch for influence shifts</t>
  </si>
  <si>
    <t>Newsletters, group briefings, feedback channels</t>
  </si>
  <si>
    <t>MONITOR</t>
  </si>
  <si>
    <t>Minimal engagement — check in quarterly</t>
  </si>
  <si>
    <t>Add to distribution lists; review quarterly</t>
  </si>
  <si>
    <t>STAKEHOLDER IDENTIFICATION REGISTER</t>
  </si>
  <si>
    <t>ID</t>
  </si>
  <si>
    <t>Stakeholder Name / Group</t>
  </si>
  <si>
    <t>Organisation / Role</t>
  </si>
  <si>
    <t>Type</t>
  </si>
  <si>
    <t>Power
(H/M/L)</t>
  </si>
  <si>
    <t>Interest
(H/M/L)</t>
  </si>
  <si>
    <t>Matrix Quadrant</t>
  </si>
  <si>
    <t>Attitude</t>
  </si>
  <si>
    <t>Primary Concerns &amp; Expectations</t>
  </si>
  <si>
    <t>Preferred Channel</t>
  </si>
  <si>
    <t>SH-01</t>
  </si>
  <si>
    <t>SH-02</t>
  </si>
  <si>
    <t>SH-03</t>
  </si>
  <si>
    <t>SH-04</t>
  </si>
  <si>
    <t>SH-05</t>
  </si>
  <si>
    <t>SH-06</t>
  </si>
  <si>
    <t>SH-07</t>
  </si>
  <si>
    <t>SH-08</t>
  </si>
  <si>
    <t>SH-09</t>
  </si>
  <si>
    <t>SH-10</t>
  </si>
  <si>
    <t>SH-11</t>
  </si>
  <si>
    <t>SH-12</t>
  </si>
  <si>
    <t>STAKEHOLDER ENGAGEMENT STRATEGY — Complete for all HIGH power or HIGH interest stakeholders</t>
  </si>
  <si>
    <t>SH ID</t>
  </si>
  <si>
    <t>Key Message</t>
  </si>
  <si>
    <t>Method</t>
  </si>
  <si>
    <t>Next Action</t>
  </si>
  <si>
    <t>Universal project schedule — update % Complete and Status at every weekly status meeting.</t>
  </si>
  <si>
    <t>ℹ  INSTRUCTION: Fill in Phase names, activity descriptions, and dates. % Complete and Status columns must be updated weekly during execution.</t>
  </si>
  <si>
    <t>SCHEDULE SUMMARY</t>
  </si>
  <si>
    <t>Project Start Date:</t>
  </si>
  <si>
    <t>Target Completion Date:</t>
  </si>
  <si>
    <t>Schedule Version:</t>
  </si>
  <si>
    <t>1.0</t>
  </si>
  <si>
    <t>Last Updated:</t>
  </si>
  <si>
    <t>STATUS DEFINITIONS</t>
  </si>
  <si>
    <t>NOT STARTED</t>
  </si>
  <si>
    <t>IN PROGRESS</t>
  </si>
  <si>
    <t>AT RISK</t>
  </si>
  <si>
    <t>DELAYED</t>
  </si>
  <si>
    <t>COMPLETE</t>
  </si>
  <si>
    <t>ON HOLD</t>
  </si>
  <si>
    <t>KEY MILESTONES</t>
  </si>
  <si>
    <t>Milestone Description</t>
  </si>
  <si>
    <t>Actual Date</t>
  </si>
  <si>
    <t>M1</t>
  </si>
  <si>
    <t>[Milestone 1 description]</t>
  </si>
  <si>
    <t>M2</t>
  </si>
  <si>
    <t>[Milestone 2 description]</t>
  </si>
  <si>
    <t>M3</t>
  </si>
  <si>
    <t>[Milestone 3 description]</t>
  </si>
  <si>
    <t>M4</t>
  </si>
  <si>
    <t>[Milestone 4 description]</t>
  </si>
  <si>
    <t>M5</t>
  </si>
  <si>
    <t>[Milestone 5 description]</t>
  </si>
  <si>
    <t>M6</t>
  </si>
  <si>
    <t>[Milestone 6 description]</t>
  </si>
  <si>
    <t>M7</t>
  </si>
  <si>
    <t>[Milestone 7 description]</t>
  </si>
  <si>
    <t>M8</t>
  </si>
  <si>
    <t>[Milestone 8 description]</t>
  </si>
  <si>
    <t>PHASE 1:  [Phase Name — e.g. Discovery &amp; Planning]    |    Duration: _______ weeks    |    Phase Owner: _______________________</t>
  </si>
  <si>
    <t>Activity ID</t>
  </si>
  <si>
    <t>Activity / Task Description</t>
  </si>
  <si>
    <t>Predecessor / Dependency</t>
  </si>
  <si>
    <t>Assigned To</t>
  </si>
  <si>
    <t>Planned Start</t>
  </si>
  <si>
    <t>Planned End</t>
  </si>
  <si>
    <t>Days</t>
  </si>
  <si>
    <t>% Complete</t>
  </si>
  <si>
    <t>Notes / Issues</t>
  </si>
  <si>
    <t>P1-001</t>
  </si>
  <si>
    <t>[Activity description for task 1]</t>
  </si>
  <si>
    <t>0%</t>
  </si>
  <si>
    <t>P1-002</t>
  </si>
  <si>
    <t>[Activity description for task 2]</t>
  </si>
  <si>
    <t>P1-003</t>
  </si>
  <si>
    <t>[Activity description for task 3]</t>
  </si>
  <si>
    <t>P1-004</t>
  </si>
  <si>
    <t>[Activity description for task 4]</t>
  </si>
  <si>
    <t>P1-005</t>
  </si>
  <si>
    <t>[Activity description for task 5]</t>
  </si>
  <si>
    <t>P1-006</t>
  </si>
  <si>
    <t>[Activity description for task 6]</t>
  </si>
  <si>
    <t>P1-007</t>
  </si>
  <si>
    <t>[Activity description for task 7]</t>
  </si>
  <si>
    <t>P1-008</t>
  </si>
  <si>
    <t>[Activity description for task 8]</t>
  </si>
  <si>
    <t>PHASE 2:  [Phase Name — e.g. Design &amp; Architecture]    |    Duration: _______ weeks    |    Phase Owner: _______________________</t>
  </si>
  <si>
    <t>P2-001</t>
  </si>
  <si>
    <t>P2-002</t>
  </si>
  <si>
    <t>P2-003</t>
  </si>
  <si>
    <t>P2-004</t>
  </si>
  <si>
    <t>P2-005</t>
  </si>
  <si>
    <t>P2-006</t>
  </si>
  <si>
    <t>P2-007</t>
  </si>
  <si>
    <t>P2-008</t>
  </si>
  <si>
    <t>PHASE 3:  [Phase Name — e.g. Development / Execution]    |    Duration: _______ weeks    |    Phase Owner: _______________________</t>
  </si>
  <si>
    <t>P3-001</t>
  </si>
  <si>
    <t>P3-002</t>
  </si>
  <si>
    <t>P3-003</t>
  </si>
  <si>
    <t>P3-004</t>
  </si>
  <si>
    <t>P3-005</t>
  </si>
  <si>
    <t>P3-006</t>
  </si>
  <si>
    <t>P3-007</t>
  </si>
  <si>
    <t>P3-008</t>
  </si>
  <si>
    <t>PHASE 4:  [Phase Name — e.g. Testing &amp; Validation]    |    Duration: _______ weeks    |    Phase Owner: _______________________</t>
  </si>
  <si>
    <t>P4-001</t>
  </si>
  <si>
    <t>P4-002</t>
  </si>
  <si>
    <t>P4-003</t>
  </si>
  <si>
    <t>P4-004</t>
  </si>
  <si>
    <t>P4-005</t>
  </si>
  <si>
    <t>P4-006</t>
  </si>
  <si>
    <t>P4-007</t>
  </si>
  <si>
    <t>P4-008</t>
  </si>
  <si>
    <t>PHASE 5:  [Phase Name — e.g. Deployment &amp; Closure]    |    Duration: _______ weeks    |    Phase Owner: _______________________</t>
  </si>
  <si>
    <t>P5-001</t>
  </si>
  <si>
    <t>P5-002</t>
  </si>
  <si>
    <t>P5-003</t>
  </si>
  <si>
    <t>P5-004</t>
  </si>
  <si>
    <t>P5-005</t>
  </si>
  <si>
    <t>P5-006</t>
  </si>
  <si>
    <t>SCHEDULE CHANGE LOG — Record all approved changes to the baseline schedule here</t>
  </si>
  <si>
    <t>Change #</t>
  </si>
  <si>
    <t>Date</t>
  </si>
  <si>
    <t>Activity / Phase Affected</t>
  </si>
  <si>
    <t>Revised Date</t>
  </si>
  <si>
    <t>Reason for Change</t>
  </si>
  <si>
    <t>Approved By</t>
  </si>
  <si>
    <t>CH-001</t>
  </si>
  <si>
    <t>CH-002</t>
  </si>
  <si>
    <t>CH-003</t>
  </si>
  <si>
    <t>CH-004</t>
  </si>
  <si>
    <t>CH-005</t>
  </si>
  <si>
    <t>CH-006</t>
  </si>
  <si>
    <t>PROJECT CHARTER</t>
  </si>
  <si>
    <t>STAKEHOLDER REGISTER</t>
  </si>
  <si>
    <t>IMPLEMENTATION SCHEDULE &amp; MILESTONE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</si>
</sst>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sz val="9"/>
      <color rgb="FF1C1C2E"/>
      <name val="Arial"/>
    </font>
    <font>
      <sz val="9"/>
      <color rgb="FFB45309"/>
      <name val="Arial"/>
    </font>
    <font>
      <sz val="9"/>
      <color rgb="FF0D7377"/>
      <name val="Arial"/>
    </font>
    <font>
      <sz val="9"/>
      <color rgb="FF1A7A4A"/>
      <name val="Arial"/>
    </font>
    <font>
      <i/>
      <sz val="9"/>
      <color rgb="FF4B5563"/>
      <name val="Arial"/>
    </font>
    <font>
      <b/>
      <sz val="14"/>
      <color rgb="FFFFFFFF"/>
      <name val="Arial"/>
    </font>
    <font>
      <i/>
      <sz val="9"/>
      <color rgb="FF0D7377"/>
      <name val="Arial"/>
    </font>
    <font>
      <b/>
      <sz val="11"/>
      <color rgb="FFFFFFFF"/>
      <name val="Arial"/>
    </font>
    <font>
      <b/>
      <sz val="9"/>
      <color rgb="FF1B3A6B"/>
      <name val="Arial"/>
    </font>
    <font>
      <b/>
      <sz val="9"/>
      <color rgb="FFFFFFFF"/>
      <name val="Arial"/>
    </font>
    <font>
      <b/>
      <sz val="9"/>
      <color rgb="FF0D7377"/>
      <name val="Arial"/>
    </font>
    <font>
      <b/>
      <sz val="9"/>
      <color rgb="FF1C1C2E"/>
      <name val="Arial"/>
    </font>
    <font>
      <b/>
      <sz val="9"/>
      <color rgb="FFB45309"/>
      <name val="Arial"/>
    </font>
    <font>
      <b/>
      <sz val="9"/>
      <color rgb="FF4B5563"/>
      <name val="Arial"/>
    </font>
    <font>
      <b/>
      <sz val="9"/>
      <color rgb="FF9B1C1C"/>
      <name val="Arial"/>
    </font>
    <font>
      <b/>
      <sz val="9"/>
      <color rgb="FF1A7A4A"/>
      <name val="Arial"/>
    </font>
    <font>
      <b/>
      <sz val="9"/>
      <color rgb="FF5B21B6"/>
      <name val="Arial"/>
    </font>
    <font>
      <b/>
      <sz val="9"/>
      <color rgb="FF9A3412"/>
      <name val="Arial"/>
    </font>
  </fonts>
  <fills count="21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2F5F8"/>
      </patternFill>
    </fill>
    <fill>
      <patternFill patternType="solid">
        <fgColor rgb="FF9B1C1C"/>
      </patternFill>
    </fill>
    <fill>
      <patternFill patternType="solid">
        <fgColor rgb="FF0D7377"/>
      </patternFill>
    </fill>
    <fill>
      <patternFill patternType="solid">
        <fgColor rgb="FF5B21B6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3A6B22"/>
      </patternFill>
    </fill>
    <fill>
      <patternFill patternType="solid">
        <fgColor rgb="FF1A7A4A"/>
      </patternFill>
    </fill>
    <fill>
      <patternFill patternType="solid">
        <fgColor rgb="FFB45309"/>
      </patternFill>
    </fill>
    <fill>
      <patternFill patternType="solid">
        <fgColor rgb="FF4B5563"/>
      </patternFill>
    </fill>
    <fill>
      <patternFill patternType="solid">
        <fgColor rgb="FFE0F2F1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9A3412"/>
      </patternFill>
    </fill>
    <fill>
      <patternFill patternType="solid">
        <fgColor rgb="FF00B050"/>
        <bgColor indexed="64"/>
      </patternFill>
    </fill>
    <fill>
      <patternFill patternType="solid">
        <fgColor rgb="FF6B750F"/>
        <bgColor indexed="64"/>
      </patternFill>
    </fill>
  </fills>
  <borders count="15">
    <border>
      <left/>
      <right/>
      <top/>
      <bottom/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  <border>
      <left style="thin">
        <color rgb="FF9B1C1C"/>
      </left>
      <right style="thin">
        <color rgb="FF9B1C1C"/>
      </right>
      <top style="thin">
        <color rgb="FF9B1C1C"/>
      </top>
      <bottom style="thin">
        <color rgb="FF9B1C1C"/>
      </bottom>
      <diagonal/>
    </border>
    <border>
      <left style="thin">
        <color rgb="FF0D7377"/>
      </left>
      <right style="thin">
        <color rgb="FF0D7377"/>
      </right>
      <top style="thin">
        <color rgb="FF0D7377"/>
      </top>
      <bottom style="thin">
        <color rgb="FF0D7377"/>
      </bottom>
      <diagonal/>
    </border>
    <border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>
      <left/>
      <right style="thin">
        <color rgb="FF0D7377"/>
      </right>
      <top style="thin">
        <color rgb="FF0D7377"/>
      </top>
      <bottom style="thin">
        <color rgb="FF0D7377"/>
      </bottom>
      <diagonal/>
    </border>
    <border>
      <left/>
      <right style="thin">
        <color rgb="FFC5CDD8"/>
      </right>
      <top style="thin">
        <color rgb="FFC5CDD8"/>
      </top>
      <bottom style="thin">
        <color rgb="FFC5CDD8"/>
      </bottom>
      <diagonal/>
    </border>
    <border>
      <left/>
      <right/>
      <top style="thin">
        <color rgb="FF0D7377"/>
      </top>
      <bottom style="thin">
        <color rgb="FF0D7377"/>
      </bottom>
      <diagonal/>
    </border>
    <border>
      <left/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thin">
        <color rgb="FFB45309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 style="thin">
        <color rgb="FF9A3412"/>
      </left>
      <right style="thin">
        <color rgb="FF9A3412"/>
      </right>
      <top style="thin">
        <color rgb="FF9A3412"/>
      </top>
      <bottom style="thin">
        <color rgb="FF9A3412"/>
      </bottom>
      <diagonal/>
    </border>
    <border>
      <left style="thin">
        <color rgb="FF1A7A4A"/>
      </left>
      <right style="thin">
        <color rgb="FF1A7A4A"/>
      </right>
      <top style="thin">
        <color rgb="FF1A7A4A"/>
      </top>
      <bottom style="thin">
        <color rgb="FF1A7A4A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/>
    </xf>
    <xf numFmtId="0" fontId="14" fillId="7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" fontId="4" fillId="8" borderId="3" xfId="0" applyNumberFormat="1" applyFont="1" applyFill="1" applyBorder="1" applyAlignment="1">
      <alignment horizontal="right" vertical="center"/>
    </xf>
    <xf numFmtId="4" fontId="12" fillId="10" borderId="3" xfId="0" applyNumberFormat="1" applyFont="1" applyFill="1" applyBorder="1" applyAlignment="1">
      <alignment horizontal="right" vertical="center"/>
    </xf>
    <xf numFmtId="0" fontId="4" fillId="10" borderId="3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left" vertical="center"/>
    </xf>
    <xf numFmtId="0" fontId="13" fillId="11" borderId="3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20" fillId="1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3" fillId="18" borderId="1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0" fillId="0" borderId="0" xfId="0"/>
    <xf numFmtId="0" fontId="8" fillId="8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0" fillId="0" borderId="8" xfId="0" applyBorder="1"/>
    <xf numFmtId="0" fontId="3" fillId="5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11" fillId="5" borderId="5" xfId="0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left" vertical="center"/>
    </xf>
    <xf numFmtId="0" fontId="0" fillId="7" borderId="0" xfId="0" applyFill="1"/>
    <xf numFmtId="0" fontId="8" fillId="3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11" fillId="11" borderId="14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left" vertical="center"/>
    </xf>
    <xf numFmtId="0" fontId="11" fillId="18" borderId="13" xfId="0" applyFont="1" applyFill="1" applyBorder="1" applyAlignment="1">
      <alignment horizontal="left" vertical="center"/>
    </xf>
    <xf numFmtId="0" fontId="19" fillId="16" borderId="3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left" vertical="center"/>
    </xf>
    <xf numFmtId="0" fontId="14" fillId="14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8" fillId="15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0" fillId="0" borderId="9" xfId="0" applyBorder="1"/>
    <xf numFmtId="0" fontId="8" fillId="8" borderId="3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13" fillId="12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left" vertical="center"/>
    </xf>
    <xf numFmtId="0" fontId="3" fillId="20" borderId="5" xfId="0" applyFont="1" applyFill="1" applyBorder="1" applyAlignment="1">
      <alignment horizontal="left" vertical="center"/>
    </xf>
  </cellXfs>
  <cellStyles count="1">
    <cellStyle name="Normal" xfId="0" builtinId="0"/>
  </cellStyles>
  <dxfs count="7">
    <dxf>
      <font>
        <b/>
        <sz val="9"/>
        <color rgb="FF1A7A4A"/>
        <name val="Arial"/>
      </font>
      <fill>
        <patternFill patternType="solid">
          <fgColor rgb="FFD1FAE5"/>
        </patternFill>
      </fill>
    </dxf>
    <dxf>
      <font>
        <b/>
        <sz val="9"/>
        <color rgb="FF9B1C1C"/>
        <name val="Arial"/>
      </font>
      <fill>
        <patternFill patternType="solid">
          <fgColor rgb="FFFEE2E2"/>
        </patternFill>
      </fill>
    </dxf>
    <dxf>
      <font>
        <b/>
        <sz val="9"/>
        <color rgb="FFB45309"/>
        <name val="Arial"/>
      </font>
      <fill>
        <patternFill patternType="solid">
          <fgColor rgb="FFFEF3C7"/>
        </patternFill>
      </fill>
    </dxf>
    <dxf>
      <font>
        <b/>
        <sz val="9"/>
        <color rgb="FF1A7A4A"/>
        <name val="Arial"/>
      </font>
      <fill>
        <patternFill patternType="solid">
          <fgColor rgb="FFD1FAE5"/>
        </patternFill>
      </fill>
    </dxf>
    <dxf>
      <font>
        <b/>
        <sz val="9"/>
        <color rgb="FF0D7377"/>
        <name val="Arial"/>
      </font>
      <fill>
        <patternFill patternType="solid">
          <fgColor rgb="FFE0F2F1"/>
        </patternFill>
      </fill>
    </dxf>
    <dxf>
      <font>
        <b/>
        <sz val="9"/>
        <color rgb="FFB45309"/>
        <name val="Arial"/>
      </font>
      <fill>
        <patternFill patternType="solid">
          <fgColor rgb="FFFEF3C7"/>
        </patternFill>
      </fill>
    </dxf>
    <dxf>
      <font>
        <b/>
        <sz val="9"/>
        <color rgb="FF9B1C1C"/>
        <name val="Arial"/>
      </font>
      <fill>
        <patternFill patternType="solid">
          <fgColor rgb="FFFEE2E2"/>
        </patternFill>
      </fill>
    </dxf>
  </dxfs>
  <tableStyles count="0" defaultTableStyle="TableStyleMedium9" defaultPivotStyle="PivotStyleLight16"/>
  <colors>
    <mruColors>
      <color rgb="FF6B75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1:C21"/>
  <sheetViews>
    <sheetView showGridLines="0" tabSelected="1" workbookViewId="0">
      <selection activeCell="D8" sqref="D8"/>
    </sheetView>
  </sheetViews>
  <sheetFormatPr defaultRowHeight="14.5" x14ac:dyDescent="0.35"/>
  <cols>
    <col min="1" max="1" width="3" customWidth="1"/>
    <col min="2" max="2" width="60" customWidth="1"/>
    <col min="3" max="3" width="49.36328125" customWidth="1"/>
  </cols>
  <sheetData>
    <row r="1" spans="2:3" ht="40" customHeight="1" x14ac:dyDescent="0.35">
      <c r="B1" s="68" t="s">
        <v>0</v>
      </c>
      <c r="C1" s="46"/>
    </row>
    <row r="2" spans="2:3" ht="22" customHeight="1" x14ac:dyDescent="0.35">
      <c r="B2" s="71" t="s">
        <v>1</v>
      </c>
      <c r="C2" s="46"/>
    </row>
    <row r="3" spans="2:3" ht="18" customHeight="1" x14ac:dyDescent="0.35"/>
    <row r="4" spans="2:3" ht="26" customHeight="1" x14ac:dyDescent="0.35">
      <c r="B4" s="1" t="s">
        <v>2</v>
      </c>
      <c r="C4" s="1" t="s">
        <v>3</v>
      </c>
    </row>
    <row r="5" spans="2:3" ht="44" customHeight="1" x14ac:dyDescent="0.35">
      <c r="B5" s="1" t="s">
        <v>4</v>
      </c>
      <c r="C5" s="2" t="s">
        <v>5</v>
      </c>
    </row>
    <row r="6" spans="2:3" ht="44" customHeight="1" x14ac:dyDescent="0.35">
      <c r="B6" s="3" t="s">
        <v>6</v>
      </c>
      <c r="C6" s="2" t="s">
        <v>7</v>
      </c>
    </row>
    <row r="7" spans="2:3" ht="44" customHeight="1" x14ac:dyDescent="0.35">
      <c r="B7" s="88" t="s">
        <v>8</v>
      </c>
      <c r="C7" s="2" t="s">
        <v>9</v>
      </c>
    </row>
    <row r="8" spans="2:3" ht="44" customHeight="1" x14ac:dyDescent="0.35">
      <c r="B8" s="87" t="s">
        <v>10</v>
      </c>
      <c r="C8" s="2" t="s">
        <v>11</v>
      </c>
    </row>
    <row r="11" spans="2:3" ht="26" customHeight="1" x14ac:dyDescent="0.35">
      <c r="B11" s="73" t="s">
        <v>12</v>
      </c>
      <c r="C11" s="46"/>
    </row>
    <row r="12" spans="2:3" ht="22" customHeight="1" x14ac:dyDescent="0.35">
      <c r="B12" s="69" t="s">
        <v>13</v>
      </c>
      <c r="C12" s="46"/>
    </row>
    <row r="13" spans="2:3" ht="22" customHeight="1" x14ac:dyDescent="0.35">
      <c r="B13" s="69" t="s">
        <v>14</v>
      </c>
      <c r="C13" s="46"/>
    </row>
    <row r="14" spans="2:3" ht="22" customHeight="1" x14ac:dyDescent="0.35">
      <c r="B14" s="69" t="s">
        <v>15</v>
      </c>
      <c r="C14" s="46"/>
    </row>
    <row r="15" spans="2:3" ht="22" customHeight="1" x14ac:dyDescent="0.35">
      <c r="B15" s="69" t="s">
        <v>16</v>
      </c>
      <c r="C15" s="46"/>
    </row>
    <row r="16" spans="2:3" ht="22" customHeight="1" x14ac:dyDescent="0.35">
      <c r="B16" s="72" t="s">
        <v>17</v>
      </c>
      <c r="C16" s="46"/>
    </row>
    <row r="17" spans="2:3" ht="22" customHeight="1" x14ac:dyDescent="0.35">
      <c r="B17" s="74" t="s">
        <v>18</v>
      </c>
      <c r="C17" s="46"/>
    </row>
    <row r="18" spans="2:3" ht="22" customHeight="1" x14ac:dyDescent="0.35">
      <c r="B18" s="75" t="s">
        <v>19</v>
      </c>
      <c r="C18" s="46"/>
    </row>
    <row r="19" spans="2:3" ht="22" customHeight="1" x14ac:dyDescent="0.35">
      <c r="B19" s="69" t="s">
        <v>20</v>
      </c>
      <c r="C19" s="46"/>
    </row>
    <row r="21" spans="2:3" x14ac:dyDescent="0.35">
      <c r="B21" s="70" t="s">
        <v>21</v>
      </c>
      <c r="C21" s="46"/>
    </row>
  </sheetData>
  <mergeCells count="12">
    <mergeCell ref="B1:C1"/>
    <mergeCell ref="B12:C12"/>
    <mergeCell ref="B13:C13"/>
    <mergeCell ref="B21:C21"/>
    <mergeCell ref="B2:C2"/>
    <mergeCell ref="B16:C16"/>
    <mergeCell ref="B15:C15"/>
    <mergeCell ref="B11:C11"/>
    <mergeCell ref="B19:C19"/>
    <mergeCell ref="B14:C14"/>
    <mergeCell ref="B17:C17"/>
    <mergeCell ref="B18:C18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65"/>
  <sheetViews>
    <sheetView showGridLines="0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3" customWidth="1"/>
    <col min="2" max="2" width="22" customWidth="1"/>
    <col min="3" max="3" width="26" customWidth="1"/>
    <col min="4" max="4" width="18" customWidth="1"/>
    <col min="5" max="5" width="26" customWidth="1"/>
    <col min="6" max="6" width="18" customWidth="1"/>
    <col min="7" max="8" width="22" customWidth="1"/>
  </cols>
  <sheetData>
    <row r="1" spans="1:8" ht="32" customHeight="1" x14ac:dyDescent="0.35">
      <c r="A1" s="45" t="s">
        <v>328</v>
      </c>
      <c r="B1" s="46"/>
      <c r="C1" s="46"/>
      <c r="D1" s="46"/>
      <c r="E1" s="46"/>
      <c r="F1" s="46"/>
      <c r="G1" s="46"/>
      <c r="H1" s="46"/>
    </row>
    <row r="2" spans="1:8" ht="18" customHeight="1" x14ac:dyDescent="0.35">
      <c r="A2" s="57" t="s">
        <v>22</v>
      </c>
      <c r="B2" s="46"/>
      <c r="C2" s="46"/>
      <c r="D2" s="46"/>
      <c r="E2" s="46"/>
      <c r="F2" s="46"/>
      <c r="G2" s="46"/>
      <c r="H2" s="46"/>
    </row>
    <row r="3" spans="1:8" ht="16" customHeight="1" x14ac:dyDescent="0.35">
      <c r="A3" s="56"/>
      <c r="B3" s="46"/>
      <c r="C3" s="46"/>
      <c r="D3" s="46"/>
      <c r="E3" s="46"/>
      <c r="F3" s="46"/>
      <c r="G3" s="46"/>
      <c r="H3" s="46"/>
    </row>
    <row r="4" spans="1:8" ht="28" customHeight="1" x14ac:dyDescent="0.35">
      <c r="A4" s="61" t="s">
        <v>23</v>
      </c>
      <c r="B4" s="46"/>
      <c r="C4" s="46"/>
      <c r="D4" s="46"/>
      <c r="E4" s="46"/>
      <c r="F4" s="46"/>
      <c r="G4" s="46"/>
      <c r="H4" s="46"/>
    </row>
    <row r="5" spans="1:8" x14ac:dyDescent="0.35">
      <c r="B5" s="48" t="s">
        <v>24</v>
      </c>
      <c r="C5" s="46"/>
      <c r="D5" s="46"/>
      <c r="E5" s="46"/>
      <c r="F5" s="46"/>
      <c r="G5" s="46"/>
      <c r="H5" s="46"/>
    </row>
    <row r="6" spans="1:8" ht="22" customHeight="1" x14ac:dyDescent="0.35">
      <c r="B6" s="4" t="s">
        <v>25</v>
      </c>
      <c r="C6" s="76" t="s">
        <v>26</v>
      </c>
      <c r="D6" s="46"/>
      <c r="E6" s="46"/>
      <c r="F6" s="46"/>
      <c r="G6" s="46"/>
      <c r="H6" s="46"/>
    </row>
    <row r="7" spans="1:8" ht="22" customHeight="1" x14ac:dyDescent="0.35">
      <c r="B7" s="4" t="s">
        <v>27</v>
      </c>
      <c r="C7" s="76" t="s">
        <v>28</v>
      </c>
      <c r="D7" s="46"/>
      <c r="E7" s="4" t="s">
        <v>29</v>
      </c>
      <c r="F7" s="76" t="s">
        <v>30</v>
      </c>
      <c r="G7" s="46"/>
    </row>
    <row r="8" spans="1:8" ht="22" customHeight="1" x14ac:dyDescent="0.35">
      <c r="B8" s="4" t="s">
        <v>31</v>
      </c>
      <c r="C8" s="76" t="s">
        <v>32</v>
      </c>
      <c r="D8" s="46"/>
      <c r="E8" s="4" t="s">
        <v>33</v>
      </c>
      <c r="F8" s="76" t="s">
        <v>34</v>
      </c>
      <c r="G8" s="46"/>
    </row>
    <row r="9" spans="1:8" ht="22" customHeight="1" x14ac:dyDescent="0.35">
      <c r="B9" s="4" t="s">
        <v>35</v>
      </c>
      <c r="C9" s="76" t="s">
        <v>36</v>
      </c>
      <c r="D9" s="46"/>
      <c r="E9" s="4" t="s">
        <v>37</v>
      </c>
      <c r="F9" s="76" t="s">
        <v>36</v>
      </c>
      <c r="G9" s="46"/>
    </row>
    <row r="10" spans="1:8" ht="22" customHeight="1" x14ac:dyDescent="0.35">
      <c r="B10" s="4" t="s">
        <v>38</v>
      </c>
      <c r="C10" s="76" t="s">
        <v>39</v>
      </c>
      <c r="D10" s="46"/>
      <c r="E10" s="4" t="s">
        <v>40</v>
      </c>
      <c r="F10" s="76" t="s">
        <v>41</v>
      </c>
      <c r="G10" s="46"/>
    </row>
    <row r="11" spans="1:8" ht="22" customHeight="1" x14ac:dyDescent="0.35">
      <c r="B11" s="4" t="s">
        <v>42</v>
      </c>
      <c r="C11" s="76" t="s">
        <v>34</v>
      </c>
      <c r="D11" s="46"/>
      <c r="E11" s="4" t="s">
        <v>43</v>
      </c>
      <c r="F11" s="76" t="s">
        <v>36</v>
      </c>
      <c r="G11" s="46"/>
    </row>
    <row r="13" spans="1:8" x14ac:dyDescent="0.35">
      <c r="B13" s="53" t="s">
        <v>44</v>
      </c>
      <c r="C13" s="46"/>
      <c r="D13" s="46"/>
      <c r="E13" s="46"/>
      <c r="F13" s="46"/>
      <c r="G13" s="46"/>
      <c r="H13" s="46"/>
    </row>
    <row r="14" spans="1:8" ht="70" customHeight="1" x14ac:dyDescent="0.35">
      <c r="B14" s="80" t="s">
        <v>45</v>
      </c>
      <c r="C14" s="46"/>
      <c r="D14" s="46"/>
      <c r="E14" s="46"/>
      <c r="F14" s="46"/>
      <c r="G14" s="46"/>
      <c r="H14" s="46"/>
    </row>
    <row r="16" spans="1:8" x14ac:dyDescent="0.35">
      <c r="B16" s="48" t="s">
        <v>46</v>
      </c>
      <c r="C16" s="46"/>
      <c r="D16" s="46"/>
      <c r="E16" s="46"/>
      <c r="F16" s="46"/>
      <c r="G16" s="46"/>
      <c r="H16" s="46"/>
    </row>
    <row r="17" spans="2:8" ht="60" customHeight="1" x14ac:dyDescent="0.35">
      <c r="B17" s="80" t="s">
        <v>47</v>
      </c>
      <c r="C17" s="46"/>
      <c r="D17" s="46"/>
      <c r="E17" s="46"/>
      <c r="F17" s="46"/>
      <c r="G17" s="46"/>
      <c r="H17" s="46"/>
    </row>
    <row r="18" spans="2:8" ht="50" customHeight="1" x14ac:dyDescent="0.35">
      <c r="B18" s="80" t="s">
        <v>48</v>
      </c>
      <c r="C18" s="46"/>
      <c r="D18" s="46"/>
      <c r="E18" s="46"/>
      <c r="F18" s="46"/>
      <c r="G18" s="46"/>
      <c r="H18" s="46"/>
    </row>
    <row r="20" spans="2:8" x14ac:dyDescent="0.35">
      <c r="B20" s="53" t="s">
        <v>49</v>
      </c>
      <c r="C20" s="46"/>
      <c r="D20" s="46"/>
      <c r="E20" s="46"/>
      <c r="F20" s="46"/>
      <c r="G20" s="46"/>
      <c r="H20" s="46"/>
    </row>
    <row r="21" spans="2:8" ht="26" customHeight="1" x14ac:dyDescent="0.35">
      <c r="B21" s="7" t="s">
        <v>50</v>
      </c>
      <c r="C21" s="51" t="s">
        <v>51</v>
      </c>
      <c r="D21" s="52"/>
      <c r="E21" s="51" t="s">
        <v>52</v>
      </c>
      <c r="F21" s="52"/>
      <c r="G21" s="7" t="s">
        <v>53</v>
      </c>
      <c r="H21" s="7" t="s">
        <v>54</v>
      </c>
    </row>
    <row r="22" spans="2:8" ht="28" customHeight="1" x14ac:dyDescent="0.35">
      <c r="B22" s="8" t="s">
        <v>55</v>
      </c>
      <c r="C22" s="76" t="s">
        <v>56</v>
      </c>
      <c r="D22" s="50"/>
      <c r="E22" s="76" t="s">
        <v>57</v>
      </c>
      <c r="F22" s="50"/>
      <c r="G22" s="5" t="s">
        <v>58</v>
      </c>
      <c r="H22" s="5" t="s">
        <v>59</v>
      </c>
    </row>
    <row r="23" spans="2:8" ht="28" customHeight="1" x14ac:dyDescent="0.35">
      <c r="B23" s="8" t="s">
        <v>60</v>
      </c>
      <c r="C23" s="76" t="s">
        <v>61</v>
      </c>
      <c r="D23" s="50"/>
      <c r="E23" s="76" t="s">
        <v>57</v>
      </c>
      <c r="F23" s="50"/>
      <c r="G23" s="5" t="s">
        <v>58</v>
      </c>
      <c r="H23" s="5" t="s">
        <v>59</v>
      </c>
    </row>
    <row r="24" spans="2:8" ht="28" customHeight="1" x14ac:dyDescent="0.35">
      <c r="B24" s="8" t="s">
        <v>62</v>
      </c>
      <c r="C24" s="76" t="s">
        <v>63</v>
      </c>
      <c r="D24" s="50"/>
      <c r="E24" s="76" t="s">
        <v>57</v>
      </c>
      <c r="F24" s="50"/>
      <c r="G24" s="5" t="s">
        <v>58</v>
      </c>
      <c r="H24" s="5" t="s">
        <v>59</v>
      </c>
    </row>
    <row r="25" spans="2:8" ht="28" customHeight="1" x14ac:dyDescent="0.35">
      <c r="B25" s="8" t="s">
        <v>64</v>
      </c>
      <c r="C25" s="76" t="s">
        <v>65</v>
      </c>
      <c r="D25" s="50"/>
      <c r="E25" s="76" t="s">
        <v>57</v>
      </c>
      <c r="F25" s="50"/>
      <c r="G25" s="5" t="s">
        <v>58</v>
      </c>
      <c r="H25" s="5" t="s">
        <v>59</v>
      </c>
    </row>
    <row r="26" spans="2:8" ht="28" customHeight="1" x14ac:dyDescent="0.35">
      <c r="B26" s="8" t="s">
        <v>66</v>
      </c>
      <c r="C26" s="76" t="s">
        <v>67</v>
      </c>
      <c r="D26" s="50"/>
      <c r="E26" s="76" t="s">
        <v>57</v>
      </c>
      <c r="F26" s="50"/>
      <c r="G26" s="5" t="s">
        <v>58</v>
      </c>
      <c r="H26" s="5" t="s">
        <v>59</v>
      </c>
    </row>
    <row r="28" spans="2:8" x14ac:dyDescent="0.35">
      <c r="B28" s="48" t="s">
        <v>68</v>
      </c>
      <c r="C28" s="46"/>
      <c r="D28" s="46"/>
      <c r="E28" s="46"/>
      <c r="F28" s="46"/>
      <c r="G28" s="46"/>
      <c r="H28" s="46"/>
    </row>
    <row r="29" spans="2:8" x14ac:dyDescent="0.35">
      <c r="B29" s="64" t="s">
        <v>69</v>
      </c>
      <c r="C29" s="46"/>
      <c r="D29" s="46"/>
      <c r="E29" s="46"/>
      <c r="F29" s="46"/>
      <c r="G29" s="46"/>
      <c r="H29" s="46"/>
    </row>
    <row r="30" spans="2:8" x14ac:dyDescent="0.35">
      <c r="B30" s="7" t="s">
        <v>50</v>
      </c>
      <c r="C30" s="51" t="s">
        <v>70</v>
      </c>
      <c r="D30" s="79"/>
      <c r="E30" s="79"/>
      <c r="F30" s="79"/>
      <c r="G30" s="52"/>
      <c r="H30" s="7" t="s">
        <v>71</v>
      </c>
    </row>
    <row r="31" spans="2:8" ht="26" customHeight="1" x14ac:dyDescent="0.35">
      <c r="B31" s="9" t="s">
        <v>55</v>
      </c>
      <c r="C31" s="47" t="s">
        <v>72</v>
      </c>
      <c r="D31" s="46"/>
      <c r="E31" s="46"/>
      <c r="F31" s="46"/>
      <c r="G31" s="46"/>
      <c r="H31" s="11"/>
    </row>
    <row r="32" spans="2:8" ht="26" customHeight="1" x14ac:dyDescent="0.35">
      <c r="B32" s="9" t="s">
        <v>60</v>
      </c>
      <c r="C32" s="47" t="s">
        <v>72</v>
      </c>
      <c r="D32" s="46"/>
      <c r="E32" s="46"/>
      <c r="F32" s="46"/>
      <c r="G32" s="46"/>
      <c r="H32" s="11"/>
    </row>
    <row r="33" spans="2:8" ht="26" customHeight="1" x14ac:dyDescent="0.35">
      <c r="B33" s="9" t="s">
        <v>62</v>
      </c>
      <c r="C33" s="47" t="s">
        <v>72</v>
      </c>
      <c r="D33" s="46"/>
      <c r="E33" s="46"/>
      <c r="F33" s="46"/>
      <c r="G33" s="46"/>
      <c r="H33" s="11"/>
    </row>
    <row r="34" spans="2:8" ht="26" customHeight="1" x14ac:dyDescent="0.35">
      <c r="B34" s="9" t="s">
        <v>64</v>
      </c>
      <c r="C34" s="47" t="s">
        <v>72</v>
      </c>
      <c r="D34" s="46"/>
      <c r="E34" s="46"/>
      <c r="F34" s="46"/>
      <c r="G34" s="46"/>
      <c r="H34" s="11"/>
    </row>
    <row r="35" spans="2:8" ht="26" customHeight="1" x14ac:dyDescent="0.35">
      <c r="B35" s="9" t="s">
        <v>66</v>
      </c>
      <c r="C35" s="47" t="s">
        <v>72</v>
      </c>
      <c r="D35" s="46"/>
      <c r="E35" s="46"/>
      <c r="F35" s="46"/>
      <c r="G35" s="46"/>
      <c r="H35" s="11"/>
    </row>
    <row r="36" spans="2:8" ht="26" customHeight="1" x14ac:dyDescent="0.35">
      <c r="B36" s="9" t="s">
        <v>73</v>
      </c>
      <c r="C36" s="47" t="s">
        <v>72</v>
      </c>
      <c r="D36" s="46"/>
      <c r="E36" s="46"/>
      <c r="F36" s="46"/>
      <c r="G36" s="46"/>
      <c r="H36" s="11"/>
    </row>
    <row r="37" spans="2:8" x14ac:dyDescent="0.35">
      <c r="B37" s="64" t="s">
        <v>74</v>
      </c>
      <c r="C37" s="46"/>
      <c r="D37" s="46"/>
      <c r="E37" s="46"/>
      <c r="F37" s="46"/>
      <c r="G37" s="46"/>
      <c r="H37" s="46"/>
    </row>
    <row r="38" spans="2:8" x14ac:dyDescent="0.35">
      <c r="B38" s="7" t="s">
        <v>50</v>
      </c>
      <c r="C38" s="51" t="s">
        <v>75</v>
      </c>
      <c r="D38" s="79"/>
      <c r="E38" s="52"/>
      <c r="F38" s="51" t="s">
        <v>76</v>
      </c>
      <c r="G38" s="79"/>
      <c r="H38" s="52"/>
    </row>
    <row r="39" spans="2:8" ht="26" customHeight="1" x14ac:dyDescent="0.35">
      <c r="B39" s="12" t="s">
        <v>55</v>
      </c>
      <c r="C39" s="47" t="s">
        <v>77</v>
      </c>
      <c r="D39" s="46"/>
      <c r="E39" s="46"/>
      <c r="F39" s="47" t="s">
        <v>78</v>
      </c>
      <c r="G39" s="46"/>
      <c r="H39" s="46"/>
    </row>
    <row r="40" spans="2:8" ht="26" customHeight="1" x14ac:dyDescent="0.35">
      <c r="B40" s="13" t="s">
        <v>60</v>
      </c>
      <c r="C40" s="47" t="s">
        <v>77</v>
      </c>
      <c r="D40" s="46"/>
      <c r="E40" s="46"/>
      <c r="F40" s="47" t="s">
        <v>78</v>
      </c>
      <c r="G40" s="46"/>
      <c r="H40" s="46"/>
    </row>
    <row r="41" spans="2:8" ht="26" customHeight="1" x14ac:dyDescent="0.35">
      <c r="B41" s="12" t="s">
        <v>62</v>
      </c>
      <c r="C41" s="47" t="s">
        <v>77</v>
      </c>
      <c r="D41" s="46"/>
      <c r="E41" s="46"/>
      <c r="F41" s="47" t="s">
        <v>78</v>
      </c>
      <c r="G41" s="46"/>
      <c r="H41" s="46"/>
    </row>
    <row r="43" spans="2:8" x14ac:dyDescent="0.35">
      <c r="B43" s="48" t="s">
        <v>79</v>
      </c>
      <c r="C43" s="46"/>
      <c r="D43" s="46"/>
      <c r="E43" s="46"/>
      <c r="F43" s="46"/>
      <c r="G43" s="46"/>
      <c r="H43" s="46"/>
    </row>
    <row r="44" spans="2:8" x14ac:dyDescent="0.35">
      <c r="B44" s="58" t="s">
        <v>80</v>
      </c>
      <c r="C44" s="59"/>
      <c r="D44" s="58" t="s">
        <v>81</v>
      </c>
      <c r="E44" s="59"/>
      <c r="F44" s="14" t="s">
        <v>53</v>
      </c>
      <c r="G44" s="14" t="s">
        <v>82</v>
      </c>
      <c r="H44" s="14" t="s">
        <v>83</v>
      </c>
    </row>
    <row r="45" spans="2:8" ht="26" customHeight="1" x14ac:dyDescent="0.35">
      <c r="B45" s="76"/>
      <c r="C45" s="50"/>
      <c r="D45" s="76"/>
      <c r="E45" s="50"/>
      <c r="F45" s="5"/>
      <c r="G45" s="5"/>
      <c r="H45" s="5"/>
    </row>
    <row r="46" spans="2:8" ht="26" customHeight="1" x14ac:dyDescent="0.35">
      <c r="B46" s="76"/>
      <c r="C46" s="50"/>
      <c r="D46" s="76"/>
      <c r="E46" s="50"/>
      <c r="F46" s="5"/>
      <c r="G46" s="5"/>
      <c r="H46" s="5"/>
    </row>
    <row r="47" spans="2:8" ht="26" customHeight="1" x14ac:dyDescent="0.35">
      <c r="B47" s="76"/>
      <c r="C47" s="50"/>
      <c r="D47" s="76"/>
      <c r="E47" s="50"/>
      <c r="F47" s="5"/>
      <c r="G47" s="5"/>
      <c r="H47" s="5"/>
    </row>
    <row r="48" spans="2:8" ht="26" customHeight="1" x14ac:dyDescent="0.35">
      <c r="B48" s="76"/>
      <c r="C48" s="50"/>
      <c r="D48" s="76"/>
      <c r="E48" s="50"/>
      <c r="F48" s="5"/>
      <c r="G48" s="5"/>
      <c r="H48" s="5"/>
    </row>
    <row r="49" spans="2:8" ht="26" customHeight="1" x14ac:dyDescent="0.35">
      <c r="B49" s="76"/>
      <c r="C49" s="50"/>
      <c r="D49" s="76"/>
      <c r="E49" s="50"/>
      <c r="F49" s="5"/>
      <c r="G49" s="5"/>
      <c r="H49" s="5"/>
    </row>
    <row r="50" spans="2:8" ht="26" customHeight="1" x14ac:dyDescent="0.35">
      <c r="B50" s="76"/>
      <c r="C50" s="50"/>
      <c r="D50" s="76"/>
      <c r="E50" s="50"/>
      <c r="F50" s="5"/>
      <c r="G50" s="5"/>
      <c r="H50" s="5"/>
    </row>
    <row r="52" spans="2:8" x14ac:dyDescent="0.35">
      <c r="B52" s="53" t="s">
        <v>84</v>
      </c>
      <c r="C52" s="46"/>
      <c r="D52" s="46"/>
      <c r="E52" s="46"/>
      <c r="F52" s="46"/>
      <c r="G52" s="46"/>
      <c r="H52" s="46"/>
    </row>
    <row r="53" spans="2:8" x14ac:dyDescent="0.35">
      <c r="B53" s="51" t="s">
        <v>85</v>
      </c>
      <c r="C53" s="79"/>
      <c r="D53" s="52"/>
      <c r="E53" s="7" t="s">
        <v>86</v>
      </c>
      <c r="F53" s="7" t="s">
        <v>87</v>
      </c>
      <c r="G53" s="51" t="s">
        <v>71</v>
      </c>
      <c r="H53" s="52"/>
    </row>
    <row r="54" spans="2:8" ht="22" customHeight="1" x14ac:dyDescent="0.35">
      <c r="B54" s="81" t="s">
        <v>88</v>
      </c>
      <c r="C54" s="46"/>
      <c r="D54" s="46"/>
      <c r="E54" s="15">
        <v>0</v>
      </c>
      <c r="F54" s="11"/>
      <c r="G54" s="49"/>
      <c r="H54" s="50"/>
    </row>
    <row r="55" spans="2:8" ht="22" customHeight="1" x14ac:dyDescent="0.35">
      <c r="B55" s="78" t="s">
        <v>89</v>
      </c>
      <c r="C55" s="46"/>
      <c r="D55" s="46"/>
      <c r="E55" s="15">
        <v>0</v>
      </c>
      <c r="F55" s="11"/>
      <c r="G55" s="49"/>
      <c r="H55" s="50"/>
    </row>
    <row r="56" spans="2:8" ht="22" customHeight="1" x14ac:dyDescent="0.35">
      <c r="B56" s="81" t="s">
        <v>90</v>
      </c>
      <c r="C56" s="46"/>
      <c r="D56" s="46"/>
      <c r="E56" s="15">
        <v>0</v>
      </c>
      <c r="F56" s="11"/>
      <c r="G56" s="49"/>
      <c r="H56" s="50"/>
    </row>
    <row r="57" spans="2:8" ht="22" customHeight="1" x14ac:dyDescent="0.35">
      <c r="B57" s="78" t="s">
        <v>91</v>
      </c>
      <c r="C57" s="46"/>
      <c r="D57" s="46"/>
      <c r="E57" s="15">
        <v>0</v>
      </c>
      <c r="F57" s="11"/>
      <c r="G57" s="49"/>
      <c r="H57" s="50"/>
    </row>
    <row r="58" spans="2:8" ht="22" customHeight="1" x14ac:dyDescent="0.35">
      <c r="B58" s="81" t="s">
        <v>92</v>
      </c>
      <c r="C58" s="46"/>
      <c r="D58" s="46"/>
      <c r="E58" s="15">
        <v>0</v>
      </c>
      <c r="F58" s="11"/>
      <c r="G58" s="49"/>
      <c r="H58" s="50"/>
    </row>
    <row r="59" spans="2:8" ht="22" customHeight="1" x14ac:dyDescent="0.35">
      <c r="B59" s="77" t="s">
        <v>93</v>
      </c>
      <c r="C59" s="46"/>
      <c r="D59" s="46"/>
      <c r="E59" s="16">
        <f>SUM(E54:E58)</f>
        <v>0</v>
      </c>
      <c r="F59" s="17"/>
      <c r="G59" s="82"/>
      <c r="H59" s="50"/>
    </row>
    <row r="61" spans="2:8" x14ac:dyDescent="0.35">
      <c r="B61" s="48" t="s">
        <v>94</v>
      </c>
      <c r="C61" s="46"/>
      <c r="D61" s="46"/>
      <c r="E61" s="46"/>
      <c r="F61" s="46"/>
      <c r="G61" s="46"/>
      <c r="H61" s="46"/>
    </row>
    <row r="62" spans="2:8" x14ac:dyDescent="0.35">
      <c r="B62" s="14" t="s">
        <v>95</v>
      </c>
      <c r="C62" s="58" t="s">
        <v>96</v>
      </c>
      <c r="D62" s="59"/>
      <c r="E62" s="58" t="s">
        <v>97</v>
      </c>
      <c r="F62" s="59"/>
      <c r="G62" s="14" t="s">
        <v>98</v>
      </c>
    </row>
    <row r="63" spans="2:8" ht="32" customHeight="1" x14ac:dyDescent="0.35">
      <c r="B63" s="11" t="s">
        <v>99</v>
      </c>
      <c r="C63" s="49"/>
      <c r="D63" s="50"/>
      <c r="E63" s="49"/>
      <c r="F63" s="50"/>
      <c r="G63" s="11"/>
    </row>
    <row r="64" spans="2:8" ht="32" customHeight="1" x14ac:dyDescent="0.35">
      <c r="B64" s="11" t="s">
        <v>100</v>
      </c>
      <c r="C64" s="49"/>
      <c r="D64" s="50"/>
      <c r="E64" s="49"/>
      <c r="F64" s="50"/>
      <c r="G64" s="11"/>
    </row>
    <row r="65" spans="2:7" ht="32" customHeight="1" x14ac:dyDescent="0.35">
      <c r="B65" s="11" t="s">
        <v>101</v>
      </c>
      <c r="C65" s="49"/>
      <c r="D65" s="50"/>
      <c r="E65" s="49"/>
      <c r="F65" s="50"/>
      <c r="G65" s="11"/>
    </row>
  </sheetData>
  <mergeCells count="91">
    <mergeCell ref="A2:H2"/>
    <mergeCell ref="C6:H6"/>
    <mergeCell ref="G55:H55"/>
    <mergeCell ref="E25:F25"/>
    <mergeCell ref="F40:H40"/>
    <mergeCell ref="A1:H1"/>
    <mergeCell ref="C26:D26"/>
    <mergeCell ref="B48:C48"/>
    <mergeCell ref="C10:D10"/>
    <mergeCell ref="C25:D25"/>
    <mergeCell ref="C9:D9"/>
    <mergeCell ref="C11:D11"/>
    <mergeCell ref="C36:G36"/>
    <mergeCell ref="A4:H4"/>
    <mergeCell ref="B14:H14"/>
    <mergeCell ref="D44:E44"/>
    <mergeCell ref="E21:F21"/>
    <mergeCell ref="C7:D7"/>
    <mergeCell ref="C8:D8"/>
    <mergeCell ref="B17:H17"/>
    <mergeCell ref="C32:G32"/>
    <mergeCell ref="G54:H54"/>
    <mergeCell ref="B45:C45"/>
    <mergeCell ref="F11:G11"/>
    <mergeCell ref="C30:G30"/>
    <mergeCell ref="B47:C47"/>
    <mergeCell ref="C24:D24"/>
    <mergeCell ref="C41:E41"/>
    <mergeCell ref="E24:F24"/>
    <mergeCell ref="B46:C46"/>
    <mergeCell ref="D46:E46"/>
    <mergeCell ref="G53:H53"/>
    <mergeCell ref="B13:H13"/>
    <mergeCell ref="B5:H5"/>
    <mergeCell ref="B20:H20"/>
    <mergeCell ref="F7:G7"/>
    <mergeCell ref="C65:D65"/>
    <mergeCell ref="C22:D22"/>
    <mergeCell ref="F8:G8"/>
    <mergeCell ref="B44:C44"/>
    <mergeCell ref="C21:D21"/>
    <mergeCell ref="C23:D23"/>
    <mergeCell ref="B61:H61"/>
    <mergeCell ref="B58:D58"/>
    <mergeCell ref="B50:C50"/>
    <mergeCell ref="D50:E50"/>
    <mergeCell ref="B43:H43"/>
    <mergeCell ref="E26:F26"/>
    <mergeCell ref="F9:G9"/>
    <mergeCell ref="E65:F65"/>
    <mergeCell ref="A3:H3"/>
    <mergeCell ref="B18:H18"/>
    <mergeCell ref="B52:H52"/>
    <mergeCell ref="G58:H58"/>
    <mergeCell ref="B49:C49"/>
    <mergeCell ref="B54:D54"/>
    <mergeCell ref="B56:D56"/>
    <mergeCell ref="E22:F22"/>
    <mergeCell ref="B29:H29"/>
    <mergeCell ref="B37:H37"/>
    <mergeCell ref="G59:H59"/>
    <mergeCell ref="C34:G34"/>
    <mergeCell ref="F10:G10"/>
    <mergeCell ref="F41:H41"/>
    <mergeCell ref="B28:H28"/>
    <mergeCell ref="C39:E39"/>
    <mergeCell ref="G57:H57"/>
    <mergeCell ref="B16:H16"/>
    <mergeCell ref="C31:G31"/>
    <mergeCell ref="D48:E48"/>
    <mergeCell ref="F39:H39"/>
    <mergeCell ref="C38:E38"/>
    <mergeCell ref="D47:E47"/>
    <mergeCell ref="C35:G35"/>
    <mergeCell ref="D49:E49"/>
    <mergeCell ref="C40:E40"/>
    <mergeCell ref="E23:F23"/>
    <mergeCell ref="F38:H38"/>
    <mergeCell ref="C33:G33"/>
    <mergeCell ref="G56:H56"/>
    <mergeCell ref="B55:D55"/>
    <mergeCell ref="C64:D64"/>
    <mergeCell ref="D45:E45"/>
    <mergeCell ref="E64:F64"/>
    <mergeCell ref="C63:D63"/>
    <mergeCell ref="E63:F63"/>
    <mergeCell ref="B59:D59"/>
    <mergeCell ref="C62:D62"/>
    <mergeCell ref="E62:F62"/>
    <mergeCell ref="B57:D57"/>
    <mergeCell ref="B53:D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M29"/>
  <sheetViews>
    <sheetView showGridLines="0" workbookViewId="0">
      <pane ySplit="7" topLeftCell="A8" activePane="bottomLeft" state="frozen"/>
      <selection pane="bottomLeft" activeCell="L15" sqref="L15"/>
    </sheetView>
  </sheetViews>
  <sheetFormatPr defaultRowHeight="14.5" x14ac:dyDescent="0.35"/>
  <cols>
    <col min="1" max="1" width="4.26953125" customWidth="1"/>
    <col min="2" max="2" width="11.453125" bestFit="1" customWidth="1"/>
    <col min="3" max="3" width="14" customWidth="1"/>
    <col min="4" max="4" width="38" customWidth="1"/>
    <col min="5" max="5" width="10" customWidth="1"/>
    <col min="6" max="6" width="19.1796875" customWidth="1"/>
    <col min="7" max="7" width="10" customWidth="1"/>
    <col min="8" max="8" width="12" customWidth="1"/>
    <col min="9" max="9" width="34" customWidth="1"/>
    <col min="10" max="10" width="28" customWidth="1"/>
    <col min="11" max="11" width="14" customWidth="1"/>
    <col min="12" max="12" width="12" customWidth="1"/>
    <col min="13" max="13" width="14" customWidth="1"/>
  </cols>
  <sheetData>
    <row r="1" spans="1:13" ht="32" customHeight="1" x14ac:dyDescent="0.35">
      <c r="A1" s="45" t="s">
        <v>140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18" customHeight="1" x14ac:dyDescent="0.35">
      <c r="A2" s="57" t="s">
        <v>102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16" customHeight="1" x14ac:dyDescent="0.35">
      <c r="A3" s="5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ht="28" customHeight="1" x14ac:dyDescent="0.35">
      <c r="A4" s="61" t="s">
        <v>103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x14ac:dyDescent="0.35">
      <c r="B5" s="64" t="s">
        <v>104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22" customHeight="1" x14ac:dyDescent="0.35">
      <c r="B6" s="7" t="s">
        <v>105</v>
      </c>
      <c r="C6" s="51" t="s">
        <v>106</v>
      </c>
      <c r="D6" s="52"/>
      <c r="E6" s="51" t="s">
        <v>107</v>
      </c>
      <c r="F6" s="52"/>
      <c r="G6" s="7" t="s">
        <v>108</v>
      </c>
      <c r="I6" s="51" t="s">
        <v>109</v>
      </c>
      <c r="J6" s="51" t="s">
        <v>110</v>
      </c>
      <c r="K6" s="79"/>
      <c r="L6" s="79"/>
      <c r="M6" s="52"/>
    </row>
    <row r="7" spans="1:13" ht="22" customHeight="1" x14ac:dyDescent="0.35">
      <c r="B7" s="18" t="s">
        <v>111</v>
      </c>
      <c r="C7" s="84" t="s">
        <v>112</v>
      </c>
      <c r="D7" s="46"/>
      <c r="E7" s="84" t="s">
        <v>113</v>
      </c>
      <c r="F7" s="46"/>
      <c r="G7" s="19" t="s">
        <v>114</v>
      </c>
      <c r="I7" s="86" t="s">
        <v>115</v>
      </c>
      <c r="J7" s="84" t="s">
        <v>116</v>
      </c>
      <c r="K7" s="46"/>
      <c r="L7" s="46"/>
      <c r="M7" s="46"/>
    </row>
    <row r="8" spans="1:13" ht="22" customHeight="1" x14ac:dyDescent="0.35">
      <c r="B8" s="18" t="s">
        <v>117</v>
      </c>
      <c r="C8" s="84" t="s">
        <v>118</v>
      </c>
      <c r="D8" s="46"/>
      <c r="E8" s="84" t="s">
        <v>119</v>
      </c>
      <c r="F8" s="46"/>
      <c r="G8" s="20" t="s">
        <v>120</v>
      </c>
      <c r="I8" s="85" t="s">
        <v>121</v>
      </c>
      <c r="J8" s="84" t="s">
        <v>122</v>
      </c>
      <c r="K8" s="46"/>
      <c r="L8" s="46"/>
      <c r="M8" s="46"/>
    </row>
    <row r="9" spans="1:13" ht="22" customHeight="1" x14ac:dyDescent="0.35">
      <c r="B9" s="18" t="s">
        <v>123</v>
      </c>
      <c r="C9" s="84" t="s">
        <v>124</v>
      </c>
      <c r="D9" s="46"/>
      <c r="E9" s="84" t="s">
        <v>125</v>
      </c>
      <c r="F9" s="46"/>
      <c r="G9" s="20" t="s">
        <v>126</v>
      </c>
      <c r="I9" s="85" t="s">
        <v>127</v>
      </c>
      <c r="J9" s="84" t="s">
        <v>128</v>
      </c>
      <c r="K9" s="46"/>
      <c r="L9" s="46"/>
      <c r="M9" s="46"/>
    </row>
    <row r="10" spans="1:13" ht="22" customHeight="1" x14ac:dyDescent="0.35">
      <c r="B10" s="18" t="s">
        <v>129</v>
      </c>
      <c r="C10" s="84" t="s">
        <v>130</v>
      </c>
      <c r="D10" s="46"/>
      <c r="E10" s="84" t="s">
        <v>131</v>
      </c>
      <c r="F10" s="46"/>
      <c r="G10" s="21" t="s">
        <v>132</v>
      </c>
      <c r="I10" s="83" t="s">
        <v>133</v>
      </c>
      <c r="J10" s="84" t="s">
        <v>134</v>
      </c>
      <c r="K10" s="46"/>
      <c r="L10" s="46"/>
      <c r="M10" s="46"/>
    </row>
    <row r="11" spans="1:13" ht="22" customHeight="1" x14ac:dyDescent="0.35">
      <c r="B11" s="18" t="s">
        <v>135</v>
      </c>
      <c r="C11" s="84" t="s">
        <v>136</v>
      </c>
      <c r="D11" s="46"/>
      <c r="E11" s="84" t="s">
        <v>137</v>
      </c>
      <c r="F11" s="46"/>
      <c r="G11" s="21" t="s">
        <v>138</v>
      </c>
      <c r="I11" s="83" t="s">
        <v>133</v>
      </c>
      <c r="J11" s="84" t="s">
        <v>139</v>
      </c>
      <c r="K11" s="46"/>
      <c r="L11" s="46"/>
      <c r="M11" s="46"/>
    </row>
    <row r="13" spans="1:13" x14ac:dyDescent="0.35">
      <c r="B13" s="48" t="s">
        <v>140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</row>
    <row r="14" spans="1:13" ht="32" customHeight="1" x14ac:dyDescent="0.35">
      <c r="B14" s="14" t="s">
        <v>141</v>
      </c>
      <c r="C14" s="14" t="s">
        <v>142</v>
      </c>
      <c r="D14" s="14" t="s">
        <v>81</v>
      </c>
      <c r="E14" s="14" t="s">
        <v>143</v>
      </c>
      <c r="F14" s="14" t="s">
        <v>144</v>
      </c>
      <c r="G14" s="14" t="s">
        <v>145</v>
      </c>
      <c r="H14" s="14" t="s">
        <v>109</v>
      </c>
      <c r="I14" s="14" t="s">
        <v>146</v>
      </c>
      <c r="J14" s="14" t="s">
        <v>147</v>
      </c>
      <c r="K14" s="14" t="s">
        <v>148</v>
      </c>
      <c r="L14" s="14" t="s">
        <v>149</v>
      </c>
      <c r="M14" s="14" t="s">
        <v>150</v>
      </c>
    </row>
    <row r="15" spans="1:13" ht="38" customHeight="1" x14ac:dyDescent="0.35">
      <c r="B15" s="12" t="s">
        <v>151</v>
      </c>
      <c r="C15" s="22"/>
      <c r="D15" s="10" t="s">
        <v>152</v>
      </c>
      <c r="E15" s="22">
        <v>1</v>
      </c>
      <c r="F15" s="22">
        <v>1</v>
      </c>
      <c r="G15" s="23">
        <f t="shared" ref="G15:G29" si="0">E15*F15</f>
        <v>1</v>
      </c>
      <c r="H15" s="23" t="str">
        <f t="shared" ref="H15:H29" si="1">IF(G15&gt;=15,"CRITICAL",IF(G15&gt;=10,"HIGH",IF(G15&gt;=5,"MEDIUM","LOW")))</f>
        <v>LOW</v>
      </c>
      <c r="I15" s="6" t="s">
        <v>153</v>
      </c>
      <c r="J15" s="6" t="s">
        <v>154</v>
      </c>
      <c r="K15" s="11"/>
      <c r="L15" s="24" t="s">
        <v>155</v>
      </c>
      <c r="M15" s="22"/>
    </row>
    <row r="16" spans="1:13" ht="38" customHeight="1" x14ac:dyDescent="0.35">
      <c r="B16" s="13" t="s">
        <v>156</v>
      </c>
      <c r="C16" s="22"/>
      <c r="D16" s="10" t="s">
        <v>152</v>
      </c>
      <c r="E16" s="22">
        <v>1</v>
      </c>
      <c r="F16" s="22">
        <v>1</v>
      </c>
      <c r="G16" s="25">
        <f t="shared" si="0"/>
        <v>1</v>
      </c>
      <c r="H16" s="25" t="str">
        <f t="shared" si="1"/>
        <v>LOW</v>
      </c>
      <c r="I16" s="6" t="s">
        <v>153</v>
      </c>
      <c r="J16" s="6" t="s">
        <v>154</v>
      </c>
      <c r="K16" s="11"/>
      <c r="L16" s="24" t="s">
        <v>155</v>
      </c>
      <c r="M16" s="22"/>
    </row>
    <row r="17" spans="2:13" ht="38" customHeight="1" x14ac:dyDescent="0.35">
      <c r="B17" s="12" t="s">
        <v>157</v>
      </c>
      <c r="C17" s="22"/>
      <c r="D17" s="10" t="s">
        <v>152</v>
      </c>
      <c r="E17" s="22">
        <v>1</v>
      </c>
      <c r="F17" s="22">
        <v>1</v>
      </c>
      <c r="G17" s="23">
        <f t="shared" si="0"/>
        <v>1</v>
      </c>
      <c r="H17" s="23" t="str">
        <f>H18</f>
        <v>LOW</v>
      </c>
      <c r="I17" s="6" t="s">
        <v>153</v>
      </c>
      <c r="J17" s="6" t="s">
        <v>154</v>
      </c>
      <c r="K17" s="11"/>
      <c r="L17" s="24" t="s">
        <v>155</v>
      </c>
      <c r="M17" s="22"/>
    </row>
    <row r="18" spans="2:13" ht="38" customHeight="1" x14ac:dyDescent="0.35">
      <c r="B18" s="13" t="s">
        <v>158</v>
      </c>
      <c r="C18" s="22"/>
      <c r="D18" s="10" t="s">
        <v>152</v>
      </c>
      <c r="E18" s="22">
        <v>1</v>
      </c>
      <c r="F18" s="22">
        <v>1</v>
      </c>
      <c r="G18" s="25">
        <f t="shared" si="0"/>
        <v>1</v>
      </c>
      <c r="H18" s="25" t="str">
        <f t="shared" si="1"/>
        <v>LOW</v>
      </c>
      <c r="I18" s="6" t="s">
        <v>153</v>
      </c>
      <c r="J18" s="6" t="s">
        <v>154</v>
      </c>
      <c r="K18" s="11"/>
      <c r="L18" s="24" t="s">
        <v>155</v>
      </c>
      <c r="M18" s="22"/>
    </row>
    <row r="19" spans="2:13" ht="38" customHeight="1" x14ac:dyDescent="0.35">
      <c r="B19" s="12" t="s">
        <v>159</v>
      </c>
      <c r="C19" s="22"/>
      <c r="D19" s="10" t="s">
        <v>152</v>
      </c>
      <c r="E19" s="22">
        <v>1</v>
      </c>
      <c r="F19" s="22">
        <v>1</v>
      </c>
      <c r="G19" s="23">
        <f t="shared" si="0"/>
        <v>1</v>
      </c>
      <c r="H19" s="23" t="str">
        <f t="shared" si="1"/>
        <v>LOW</v>
      </c>
      <c r="I19" s="6" t="s">
        <v>153</v>
      </c>
      <c r="J19" s="6" t="s">
        <v>154</v>
      </c>
      <c r="K19" s="11"/>
      <c r="L19" s="24" t="s">
        <v>155</v>
      </c>
      <c r="M19" s="22"/>
    </row>
    <row r="20" spans="2:13" ht="38" customHeight="1" x14ac:dyDescent="0.35">
      <c r="B20" s="13" t="s">
        <v>160</v>
      </c>
      <c r="C20" s="22"/>
      <c r="D20" s="10" t="s">
        <v>152</v>
      </c>
      <c r="E20" s="22">
        <v>1</v>
      </c>
      <c r="F20" s="22">
        <v>1</v>
      </c>
      <c r="G20" s="25">
        <f t="shared" si="0"/>
        <v>1</v>
      </c>
      <c r="H20" s="25" t="str">
        <f t="shared" si="1"/>
        <v>LOW</v>
      </c>
      <c r="I20" s="6" t="s">
        <v>153</v>
      </c>
      <c r="J20" s="6" t="s">
        <v>154</v>
      </c>
      <c r="K20" s="11"/>
      <c r="L20" s="24" t="s">
        <v>155</v>
      </c>
      <c r="M20" s="22"/>
    </row>
    <row r="21" spans="2:13" ht="38" customHeight="1" x14ac:dyDescent="0.35">
      <c r="B21" s="12" t="s">
        <v>161</v>
      </c>
      <c r="C21" s="22"/>
      <c r="D21" s="10" t="s">
        <v>152</v>
      </c>
      <c r="E21" s="22">
        <v>1</v>
      </c>
      <c r="F21" s="22">
        <v>1</v>
      </c>
      <c r="G21" s="23">
        <f t="shared" si="0"/>
        <v>1</v>
      </c>
      <c r="H21" s="23" t="str">
        <f t="shared" si="1"/>
        <v>LOW</v>
      </c>
      <c r="I21" s="6" t="s">
        <v>153</v>
      </c>
      <c r="J21" s="6" t="s">
        <v>154</v>
      </c>
      <c r="K21" s="11"/>
      <c r="L21" s="24" t="s">
        <v>155</v>
      </c>
      <c r="M21" s="22"/>
    </row>
    <row r="22" spans="2:13" ht="38" customHeight="1" x14ac:dyDescent="0.35">
      <c r="B22" s="13" t="s">
        <v>162</v>
      </c>
      <c r="C22" s="22"/>
      <c r="D22" s="10" t="s">
        <v>152</v>
      </c>
      <c r="E22" s="22">
        <v>1</v>
      </c>
      <c r="F22" s="22">
        <v>1</v>
      </c>
      <c r="G22" s="25">
        <f t="shared" si="0"/>
        <v>1</v>
      </c>
      <c r="H22" s="25" t="str">
        <f t="shared" si="1"/>
        <v>LOW</v>
      </c>
      <c r="I22" s="6" t="s">
        <v>153</v>
      </c>
      <c r="J22" s="6" t="s">
        <v>154</v>
      </c>
      <c r="K22" s="11"/>
      <c r="L22" s="24" t="s">
        <v>155</v>
      </c>
      <c r="M22" s="22"/>
    </row>
    <row r="23" spans="2:13" ht="38" customHeight="1" x14ac:dyDescent="0.35">
      <c r="B23" s="12" t="s">
        <v>163</v>
      </c>
      <c r="C23" s="22"/>
      <c r="D23" s="10" t="s">
        <v>152</v>
      </c>
      <c r="E23" s="22">
        <v>1</v>
      </c>
      <c r="F23" s="22">
        <v>1</v>
      </c>
      <c r="G23" s="23">
        <f t="shared" si="0"/>
        <v>1</v>
      </c>
      <c r="H23" s="23" t="str">
        <f t="shared" si="1"/>
        <v>LOW</v>
      </c>
      <c r="I23" s="6" t="s">
        <v>153</v>
      </c>
      <c r="J23" s="6" t="s">
        <v>154</v>
      </c>
      <c r="K23" s="11"/>
      <c r="L23" s="24" t="s">
        <v>155</v>
      </c>
      <c r="M23" s="22"/>
    </row>
    <row r="24" spans="2:13" ht="38" customHeight="1" x14ac:dyDescent="0.35">
      <c r="B24" s="13" t="s">
        <v>164</v>
      </c>
      <c r="C24" s="22"/>
      <c r="D24" s="10" t="s">
        <v>152</v>
      </c>
      <c r="E24" s="22">
        <v>1</v>
      </c>
      <c r="F24" s="22">
        <v>1</v>
      </c>
      <c r="G24" s="25">
        <f t="shared" si="0"/>
        <v>1</v>
      </c>
      <c r="H24" s="25" t="str">
        <f t="shared" si="1"/>
        <v>LOW</v>
      </c>
      <c r="I24" s="6" t="s">
        <v>153</v>
      </c>
      <c r="J24" s="6" t="s">
        <v>154</v>
      </c>
      <c r="K24" s="11"/>
      <c r="L24" s="24" t="s">
        <v>155</v>
      </c>
      <c r="M24" s="22"/>
    </row>
    <row r="25" spans="2:13" ht="38" customHeight="1" x14ac:dyDescent="0.35">
      <c r="B25" s="12" t="s">
        <v>165</v>
      </c>
      <c r="C25" s="22"/>
      <c r="D25" s="10" t="s">
        <v>152</v>
      </c>
      <c r="E25" s="22">
        <v>1</v>
      </c>
      <c r="F25" s="22">
        <v>1</v>
      </c>
      <c r="G25" s="23">
        <f t="shared" si="0"/>
        <v>1</v>
      </c>
      <c r="H25" s="23" t="str">
        <f t="shared" si="1"/>
        <v>LOW</v>
      </c>
      <c r="I25" s="6" t="s">
        <v>153</v>
      </c>
      <c r="J25" s="6" t="s">
        <v>154</v>
      </c>
      <c r="K25" s="11"/>
      <c r="L25" s="24" t="s">
        <v>155</v>
      </c>
      <c r="M25" s="22"/>
    </row>
    <row r="26" spans="2:13" ht="38" customHeight="1" x14ac:dyDescent="0.35">
      <c r="B26" s="13" t="s">
        <v>166</v>
      </c>
      <c r="C26" s="22"/>
      <c r="D26" s="10" t="s">
        <v>152</v>
      </c>
      <c r="E26" s="22">
        <v>1</v>
      </c>
      <c r="F26" s="22">
        <v>1</v>
      </c>
      <c r="G26" s="25">
        <f t="shared" si="0"/>
        <v>1</v>
      </c>
      <c r="H26" s="25" t="str">
        <f t="shared" si="1"/>
        <v>LOW</v>
      </c>
      <c r="I26" s="6" t="s">
        <v>153</v>
      </c>
      <c r="J26" s="6" t="s">
        <v>154</v>
      </c>
      <c r="K26" s="11"/>
      <c r="L26" s="24" t="s">
        <v>155</v>
      </c>
      <c r="M26" s="22"/>
    </row>
    <row r="27" spans="2:13" ht="38" customHeight="1" x14ac:dyDescent="0.35">
      <c r="B27" s="12" t="s">
        <v>167</v>
      </c>
      <c r="C27" s="22"/>
      <c r="D27" s="10" t="s">
        <v>152</v>
      </c>
      <c r="E27" s="22">
        <v>1</v>
      </c>
      <c r="F27" s="22">
        <v>1</v>
      </c>
      <c r="G27" s="23">
        <f t="shared" si="0"/>
        <v>1</v>
      </c>
      <c r="H27" s="23" t="str">
        <f t="shared" si="1"/>
        <v>LOW</v>
      </c>
      <c r="I27" s="6" t="s">
        <v>153</v>
      </c>
      <c r="J27" s="6" t="s">
        <v>154</v>
      </c>
      <c r="K27" s="11"/>
      <c r="L27" s="24" t="s">
        <v>155</v>
      </c>
      <c r="M27" s="22"/>
    </row>
    <row r="28" spans="2:13" ht="38" customHeight="1" x14ac:dyDescent="0.35">
      <c r="B28" s="13" t="s">
        <v>168</v>
      </c>
      <c r="C28" s="22"/>
      <c r="D28" s="10" t="s">
        <v>152</v>
      </c>
      <c r="E28" s="22">
        <v>1</v>
      </c>
      <c r="F28" s="22">
        <v>1</v>
      </c>
      <c r="G28" s="25">
        <f t="shared" si="0"/>
        <v>1</v>
      </c>
      <c r="H28" s="25" t="str">
        <f t="shared" si="1"/>
        <v>LOW</v>
      </c>
      <c r="I28" s="6" t="s">
        <v>153</v>
      </c>
      <c r="J28" s="6" t="s">
        <v>154</v>
      </c>
      <c r="K28" s="11"/>
      <c r="L28" s="24" t="s">
        <v>155</v>
      </c>
      <c r="M28" s="22"/>
    </row>
    <row r="29" spans="2:13" ht="38" customHeight="1" x14ac:dyDescent="0.35">
      <c r="B29" s="12" t="s">
        <v>169</v>
      </c>
      <c r="C29" s="22"/>
      <c r="D29" s="10" t="s">
        <v>152</v>
      </c>
      <c r="E29" s="22">
        <v>1</v>
      </c>
      <c r="F29" s="22">
        <v>1</v>
      </c>
      <c r="G29" s="23">
        <f t="shared" si="0"/>
        <v>1</v>
      </c>
      <c r="H29" s="23" t="str">
        <f t="shared" si="1"/>
        <v>LOW</v>
      </c>
      <c r="I29" s="6" t="s">
        <v>153</v>
      </c>
      <c r="J29" s="6" t="s">
        <v>154</v>
      </c>
      <c r="K29" s="11"/>
      <c r="L29" s="24" t="s">
        <v>155</v>
      </c>
      <c r="M29" s="22"/>
    </row>
  </sheetData>
  <mergeCells count="30">
    <mergeCell ref="A1:M1"/>
    <mergeCell ref="B5:M5"/>
    <mergeCell ref="J9:M9"/>
    <mergeCell ref="C11:D11"/>
    <mergeCell ref="E11:F11"/>
    <mergeCell ref="I7"/>
    <mergeCell ref="J6:M6"/>
    <mergeCell ref="C8:D8"/>
    <mergeCell ref="C7:D7"/>
    <mergeCell ref="E7:F7"/>
    <mergeCell ref="J11:M11"/>
    <mergeCell ref="A3:M3"/>
    <mergeCell ref="J7:M7"/>
    <mergeCell ref="A2:M2"/>
    <mergeCell ref="C6:D6"/>
    <mergeCell ref="I8"/>
    <mergeCell ref="A4:M4"/>
    <mergeCell ref="B13:M13"/>
    <mergeCell ref="I10"/>
    <mergeCell ref="E8:F8"/>
    <mergeCell ref="I9"/>
    <mergeCell ref="C10:D10"/>
    <mergeCell ref="E10:F10"/>
    <mergeCell ref="J8:M8"/>
    <mergeCell ref="I6"/>
    <mergeCell ref="C9:D9"/>
    <mergeCell ref="I11"/>
    <mergeCell ref="E9:F9"/>
    <mergeCell ref="J10:M10"/>
    <mergeCell ref="E6:F6"/>
  </mergeCells>
  <conditionalFormatting sqref="H15:H29">
    <cfRule type="expression" dxfId="6" priority="1">
      <formula>H15="CRITICAL"</formula>
    </cfRule>
    <cfRule type="expression" dxfId="5" priority="2">
      <formula>H15="HIGH"</formula>
    </cfRule>
    <cfRule type="expression" dxfId="4" priority="3">
      <formula>H15="MEDIUM"</formula>
    </cfRule>
    <cfRule type="expression" dxfId="3" priority="4">
      <formula>H15="LOW"</formula>
    </cfRule>
  </conditionalFormatting>
  <conditionalFormatting sqref="L15:L29">
    <cfRule type="expression" dxfId="2" priority="5">
      <formula>L15="OPEN"</formula>
    </cfRule>
    <cfRule type="expression" dxfId="1" priority="6">
      <formula>L15="OCCURRED"</formula>
    </cfRule>
    <cfRule type="expression" dxfId="0" priority="7">
      <formula>L15="CLOSED"</formula>
    </cfRule>
  </conditionalFormatting>
  <dataValidations count="3">
    <dataValidation type="list" sqref="E15:F34" xr:uid="{00000000-0002-0000-0200-000000000000}">
      <formula1>"1,2,3,4,5"</formula1>
    </dataValidation>
    <dataValidation type="list" sqref="L15:L34" xr:uid="{00000000-0002-0000-0200-000002000000}">
      <formula1>"OPEN,MITIGATING,MONITORING,CLOSED,OCCURRED"</formula1>
    </dataValidation>
    <dataValidation type="list" sqref="C15:C34" xr:uid="{00000000-0002-0000-0200-000003000000}">
      <formula1>"TECH,RES,SCOPE,EXT,ORG,DATA,TIME,COMMS"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M38"/>
  <sheetViews>
    <sheetView showGridLines="0" workbookViewId="0">
      <pane ySplit="7" topLeftCell="A8" activePane="bottomLeft" state="frozen"/>
      <selection pane="bottomLeft" sqref="A1:L1"/>
    </sheetView>
  </sheetViews>
  <sheetFormatPr defaultRowHeight="14.5" x14ac:dyDescent="0.35"/>
  <cols>
    <col min="1" max="1" width="3" customWidth="1"/>
    <col min="2" max="2" width="16.453125" bestFit="1" customWidth="1"/>
    <col min="3" max="3" width="22" customWidth="1"/>
    <col min="4" max="4" width="18" customWidth="1"/>
    <col min="5" max="5" width="12" customWidth="1"/>
    <col min="6" max="7" width="10" customWidth="1"/>
    <col min="8" max="9" width="14" customWidth="1"/>
    <col min="10" max="10" width="28" customWidth="1"/>
    <col min="11" max="11" width="22" customWidth="1"/>
    <col min="12" max="12" width="16" customWidth="1"/>
  </cols>
  <sheetData>
    <row r="1" spans="1:13" ht="32" customHeight="1" x14ac:dyDescent="0.35">
      <c r="A1" s="45" t="s">
        <v>329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3" ht="18" customHeight="1" x14ac:dyDescent="0.35">
      <c r="A2" s="57" t="s">
        <v>170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3" ht="16" customHeight="1" x14ac:dyDescent="0.35">
      <c r="A3" s="5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3" ht="28" customHeight="1" x14ac:dyDescent="0.35">
      <c r="A4" s="61" t="s">
        <v>171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3" x14ac:dyDescent="0.35">
      <c r="B5" s="64" t="s">
        <v>172</v>
      </c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3" ht="22" customHeight="1" x14ac:dyDescent="0.35">
      <c r="B6" s="7" t="s">
        <v>173</v>
      </c>
      <c r="C6" s="7" t="s">
        <v>174</v>
      </c>
      <c r="D6" s="7" t="s">
        <v>175</v>
      </c>
      <c r="E6" s="51" t="s">
        <v>176</v>
      </c>
      <c r="F6" s="52"/>
      <c r="G6" s="51" t="s">
        <v>177</v>
      </c>
      <c r="H6" s="79"/>
      <c r="I6" s="79"/>
      <c r="J6" s="79"/>
      <c r="K6" s="79"/>
      <c r="L6" s="52"/>
    </row>
    <row r="7" spans="1:13" ht="24" customHeight="1" x14ac:dyDescent="0.35">
      <c r="B7" s="26" t="s">
        <v>178</v>
      </c>
      <c r="C7" s="27" t="s">
        <v>179</v>
      </c>
      <c r="D7" s="27" t="s">
        <v>179</v>
      </c>
      <c r="E7" s="69" t="s">
        <v>180</v>
      </c>
      <c r="F7" s="46"/>
      <c r="G7" s="69" t="s">
        <v>181</v>
      </c>
      <c r="H7" s="46"/>
      <c r="I7" s="46"/>
      <c r="J7" s="46"/>
      <c r="K7" s="46"/>
      <c r="L7" s="46"/>
    </row>
    <row r="8" spans="1:13" ht="24" customHeight="1" x14ac:dyDescent="0.35">
      <c r="B8" s="28" t="s">
        <v>182</v>
      </c>
      <c r="C8" s="27" t="s">
        <v>179</v>
      </c>
      <c r="D8" s="27" t="s">
        <v>183</v>
      </c>
      <c r="E8" s="69" t="s">
        <v>184</v>
      </c>
      <c r="F8" s="46"/>
      <c r="G8" s="69" t="s">
        <v>185</v>
      </c>
      <c r="H8" s="46"/>
      <c r="I8" s="46"/>
      <c r="J8" s="46"/>
      <c r="K8" s="46"/>
      <c r="L8" s="46"/>
    </row>
    <row r="9" spans="1:13" ht="24" customHeight="1" x14ac:dyDescent="0.35">
      <c r="B9" s="29" t="s">
        <v>186</v>
      </c>
      <c r="C9" s="27" t="s">
        <v>183</v>
      </c>
      <c r="D9" s="27" t="s">
        <v>179</v>
      </c>
      <c r="E9" s="69" t="s">
        <v>187</v>
      </c>
      <c r="F9" s="46"/>
      <c r="G9" s="69" t="s">
        <v>188</v>
      </c>
      <c r="H9" s="46"/>
      <c r="I9" s="46"/>
      <c r="J9" s="46"/>
      <c r="K9" s="46"/>
      <c r="L9" s="46"/>
    </row>
    <row r="10" spans="1:13" ht="24" customHeight="1" x14ac:dyDescent="0.35">
      <c r="B10" s="30" t="s">
        <v>189</v>
      </c>
      <c r="C10" s="27" t="s">
        <v>183</v>
      </c>
      <c r="D10" s="27" t="s">
        <v>183</v>
      </c>
      <c r="E10" s="69" t="s">
        <v>190</v>
      </c>
      <c r="F10" s="46"/>
      <c r="G10" s="69" t="s">
        <v>191</v>
      </c>
      <c r="H10" s="46"/>
      <c r="I10" s="46"/>
      <c r="J10" s="46"/>
      <c r="K10" s="46"/>
      <c r="L10" s="46"/>
    </row>
    <row r="12" spans="1:13" x14ac:dyDescent="0.35">
      <c r="B12" s="48" t="s">
        <v>192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spans="1:13" ht="32" customHeight="1" x14ac:dyDescent="0.35">
      <c r="B13" s="14" t="s">
        <v>193</v>
      </c>
      <c r="C13" s="14" t="s">
        <v>194</v>
      </c>
      <c r="D13" s="14" t="s">
        <v>195</v>
      </c>
      <c r="E13" s="14" t="s">
        <v>196</v>
      </c>
      <c r="F13" s="14" t="s">
        <v>197</v>
      </c>
      <c r="G13" s="14" t="s">
        <v>198</v>
      </c>
      <c r="H13" s="14" t="s">
        <v>199</v>
      </c>
      <c r="I13" s="14" t="s">
        <v>200</v>
      </c>
      <c r="J13" s="14" t="s">
        <v>201</v>
      </c>
      <c r="K13" s="14" t="s">
        <v>202</v>
      </c>
      <c r="L13" s="14" t="s">
        <v>149</v>
      </c>
    </row>
    <row r="14" spans="1:13" ht="34" customHeight="1" x14ac:dyDescent="0.35">
      <c r="B14" s="12" t="s">
        <v>203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34" customHeight="1" x14ac:dyDescent="0.35">
      <c r="B15" s="13" t="s">
        <v>204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34" customHeight="1" x14ac:dyDescent="0.35">
      <c r="B16" s="12" t="s">
        <v>205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13" ht="34" customHeight="1" x14ac:dyDescent="0.35">
      <c r="B17" s="13" t="s">
        <v>206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2:13" ht="34" customHeight="1" x14ac:dyDescent="0.35">
      <c r="B18" s="12" t="s">
        <v>207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2:13" ht="34" customHeight="1" x14ac:dyDescent="0.35">
      <c r="B19" s="13" t="s">
        <v>208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2:13" ht="34" customHeight="1" x14ac:dyDescent="0.35">
      <c r="B20" s="12" t="s">
        <v>209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2:13" ht="34" customHeight="1" x14ac:dyDescent="0.35">
      <c r="B21" s="13" t="s">
        <v>210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2:13" ht="34" customHeight="1" x14ac:dyDescent="0.35">
      <c r="B22" s="12" t="s">
        <v>211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2:13" ht="34" customHeight="1" x14ac:dyDescent="0.35">
      <c r="B23" s="13" t="s">
        <v>212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2:13" ht="34" customHeight="1" x14ac:dyDescent="0.35">
      <c r="B24" s="12" t="s">
        <v>213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2:13" ht="34" customHeight="1" x14ac:dyDescent="0.35">
      <c r="B25" s="13" t="s">
        <v>214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7" spans="2:13" x14ac:dyDescent="0.35">
      <c r="B27" s="53" t="s">
        <v>215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spans="2:13" ht="28" customHeight="1" x14ac:dyDescent="0.35">
      <c r="B28" s="7" t="s">
        <v>216</v>
      </c>
      <c r="C28" s="7" t="s">
        <v>194</v>
      </c>
      <c r="D28" s="51" t="s">
        <v>217</v>
      </c>
      <c r="E28" s="52"/>
      <c r="F28" s="7" t="s">
        <v>218</v>
      </c>
      <c r="G28" s="7" t="s">
        <v>53</v>
      </c>
      <c r="H28" s="7" t="s">
        <v>219</v>
      </c>
      <c r="I28" s="7" t="s">
        <v>54</v>
      </c>
      <c r="J28" s="7" t="s">
        <v>71</v>
      </c>
    </row>
    <row r="29" spans="2:13" ht="30" customHeight="1" x14ac:dyDescent="0.35">
      <c r="B29" s="22"/>
      <c r="C29" s="5"/>
      <c r="D29" s="76"/>
      <c r="E29" s="50"/>
      <c r="F29" s="5"/>
      <c r="G29" s="5"/>
      <c r="H29" s="5"/>
      <c r="I29" s="5"/>
      <c r="J29" s="5"/>
      <c r="K29" s="5"/>
      <c r="L29" s="5"/>
      <c r="M29" s="5"/>
    </row>
    <row r="30" spans="2:13" ht="30" customHeight="1" x14ac:dyDescent="0.35">
      <c r="B30" s="22"/>
      <c r="C30" s="5"/>
      <c r="D30" s="76"/>
      <c r="E30" s="50"/>
      <c r="F30" s="5"/>
      <c r="G30" s="5"/>
      <c r="H30" s="5"/>
      <c r="I30" s="5"/>
      <c r="J30" s="5"/>
      <c r="K30" s="5"/>
      <c r="L30" s="5"/>
      <c r="M30" s="5"/>
    </row>
    <row r="31" spans="2:13" ht="30" customHeight="1" x14ac:dyDescent="0.35">
      <c r="B31" s="22"/>
      <c r="C31" s="5"/>
      <c r="D31" s="76"/>
      <c r="E31" s="50"/>
      <c r="F31" s="5"/>
      <c r="G31" s="5"/>
      <c r="H31" s="5"/>
      <c r="I31" s="5"/>
      <c r="J31" s="5"/>
      <c r="K31" s="5"/>
      <c r="L31" s="5"/>
      <c r="M31" s="5"/>
    </row>
    <row r="32" spans="2:13" ht="30" customHeight="1" x14ac:dyDescent="0.35">
      <c r="B32" s="22"/>
      <c r="C32" s="5"/>
      <c r="D32" s="76"/>
      <c r="E32" s="50"/>
      <c r="F32" s="5"/>
      <c r="G32" s="5"/>
      <c r="H32" s="5"/>
      <c r="I32" s="5"/>
      <c r="J32" s="5"/>
      <c r="K32" s="5"/>
      <c r="L32" s="5"/>
      <c r="M32" s="5"/>
    </row>
    <row r="33" spans="2:13" ht="30" customHeight="1" x14ac:dyDescent="0.35">
      <c r="B33" s="22"/>
      <c r="C33" s="5"/>
      <c r="D33" s="76"/>
      <c r="E33" s="50"/>
      <c r="F33" s="5"/>
      <c r="G33" s="5"/>
      <c r="H33" s="5"/>
      <c r="I33" s="5"/>
      <c r="J33" s="5"/>
      <c r="K33" s="5"/>
      <c r="L33" s="5"/>
      <c r="M33" s="5"/>
    </row>
    <row r="34" spans="2:13" ht="30" customHeight="1" x14ac:dyDescent="0.35">
      <c r="B34" s="22"/>
      <c r="C34" s="5"/>
      <c r="D34" s="76"/>
      <c r="E34" s="50"/>
      <c r="F34" s="5"/>
      <c r="G34" s="5"/>
      <c r="H34" s="5"/>
      <c r="I34" s="5"/>
      <c r="J34" s="5"/>
      <c r="K34" s="5"/>
      <c r="L34" s="5"/>
      <c r="M34" s="5"/>
    </row>
    <row r="35" spans="2:13" ht="30" customHeight="1" x14ac:dyDescent="0.35">
      <c r="B35" s="22"/>
      <c r="C35" s="5"/>
      <c r="D35" s="76"/>
      <c r="E35" s="50"/>
      <c r="F35" s="5"/>
      <c r="G35" s="5"/>
      <c r="H35" s="5"/>
      <c r="I35" s="5"/>
      <c r="J35" s="5"/>
      <c r="K35" s="5"/>
      <c r="L35" s="5"/>
      <c r="M35" s="5"/>
    </row>
    <row r="36" spans="2:13" ht="30" customHeight="1" x14ac:dyDescent="0.35">
      <c r="B36" s="22"/>
      <c r="C36" s="5"/>
      <c r="D36" s="76"/>
      <c r="E36" s="50"/>
      <c r="F36" s="5"/>
      <c r="G36" s="5"/>
      <c r="H36" s="5"/>
      <c r="I36" s="5"/>
      <c r="J36" s="5"/>
      <c r="K36" s="5"/>
      <c r="L36" s="5"/>
      <c r="M36" s="5"/>
    </row>
    <row r="37" spans="2:13" ht="30" customHeight="1" x14ac:dyDescent="0.35">
      <c r="B37" s="22"/>
      <c r="C37" s="5"/>
      <c r="D37" s="76"/>
      <c r="E37" s="50"/>
      <c r="F37" s="5"/>
      <c r="G37" s="5"/>
      <c r="H37" s="5"/>
      <c r="I37" s="5"/>
      <c r="J37" s="5"/>
      <c r="K37" s="5"/>
      <c r="L37" s="5"/>
      <c r="M37" s="5"/>
    </row>
    <row r="38" spans="2:13" ht="30" customHeight="1" x14ac:dyDescent="0.35">
      <c r="B38" s="22"/>
      <c r="C38" s="5"/>
      <c r="D38" s="76"/>
      <c r="E38" s="50"/>
      <c r="F38" s="5"/>
      <c r="G38" s="5"/>
      <c r="H38" s="5"/>
      <c r="I38" s="5"/>
      <c r="J38" s="5"/>
      <c r="K38" s="5"/>
      <c r="L38" s="5"/>
      <c r="M38" s="5"/>
    </row>
  </sheetData>
  <mergeCells count="28">
    <mergeCell ref="A1:L1"/>
    <mergeCell ref="B5:L5"/>
    <mergeCell ref="D38:E38"/>
    <mergeCell ref="G8:L8"/>
    <mergeCell ref="G7:L7"/>
    <mergeCell ref="D37:E37"/>
    <mergeCell ref="D28:E28"/>
    <mergeCell ref="D30:E30"/>
    <mergeCell ref="E7:F7"/>
    <mergeCell ref="D33:E33"/>
    <mergeCell ref="D29:E29"/>
    <mergeCell ref="A2:L2"/>
    <mergeCell ref="B12:L12"/>
    <mergeCell ref="E10:F10"/>
    <mergeCell ref="D35:E35"/>
    <mergeCell ref="D32:E32"/>
    <mergeCell ref="D34:E34"/>
    <mergeCell ref="G6:L6"/>
    <mergeCell ref="D36:E36"/>
    <mergeCell ref="A3:L3"/>
    <mergeCell ref="D31:E31"/>
    <mergeCell ref="E8:F8"/>
    <mergeCell ref="B27:L27"/>
    <mergeCell ref="E9:F9"/>
    <mergeCell ref="A4:L4"/>
    <mergeCell ref="E6:F6"/>
    <mergeCell ref="G9:L9"/>
    <mergeCell ref="G10:L10"/>
  </mergeCells>
  <dataValidations count="6">
    <dataValidation type="list" sqref="F14:G28" xr:uid="{00000000-0002-0000-0300-000000000000}">
      <formula1>"H,M,L"</formula1>
    </dataValidation>
    <dataValidation type="list" sqref="H14:H28" xr:uid="{00000000-0002-0000-0300-000002000000}">
      <formula1>"MANAGE CLOSELY,KEEP SATISFIED,KEEP INFORMED,MONITOR"</formula1>
    </dataValidation>
    <dataValidation type="list" sqref="I14:I28" xr:uid="{00000000-0002-0000-0300-000003000000}">
      <formula1>"Champion,Supporter,Neutral,Sceptic,Resistor"</formula1>
    </dataValidation>
    <dataValidation type="list" sqref="E14:E28" xr:uid="{00000000-0002-0000-0300-000004000000}">
      <formula1>"Internal,External,Regulatory"</formula1>
    </dataValidation>
    <dataValidation type="list" sqref="L14:L28" xr:uid="{00000000-0002-0000-0300-000005000000}">
      <formula1>"Active,Inactive,To Contact"</formula1>
    </dataValidation>
    <dataValidation type="list" sqref="E29:E38" xr:uid="{00000000-0002-0000-0300-000006000000}">
      <formula1>"Daily,Weekly,Bi-weekly,Monthly,Quarterly,As Required"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L82"/>
  <sheetViews>
    <sheetView showGridLines="0" zoomScale="80" zoomScaleNormal="80" workbookViewId="0">
      <pane ySplit="8" topLeftCell="A21" activePane="bottomLeft" state="frozen"/>
      <selection pane="bottomLeft" activeCell="L39" sqref="L39"/>
    </sheetView>
  </sheetViews>
  <sheetFormatPr defaultRowHeight="14.5" x14ac:dyDescent="0.35"/>
  <cols>
    <col min="1" max="1" width="4.26953125" customWidth="1"/>
    <col min="2" max="2" width="20.453125" bestFit="1" customWidth="1"/>
    <col min="3" max="3" width="36" customWidth="1"/>
    <col min="4" max="4" width="22" customWidth="1"/>
    <col min="5" max="5" width="16" customWidth="1"/>
    <col min="6" max="7" width="14" customWidth="1"/>
    <col min="8" max="9" width="12" customWidth="1"/>
    <col min="10" max="10" width="14" customWidth="1"/>
    <col min="11" max="11" width="22" customWidth="1"/>
    <col min="12" max="12" width="13.54296875" customWidth="1"/>
  </cols>
  <sheetData>
    <row r="1" spans="1:12" ht="32" customHeight="1" x14ac:dyDescent="0.35">
      <c r="A1" s="45" t="s">
        <v>330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ht="18" customHeight="1" x14ac:dyDescent="0.35">
      <c r="A2" s="57" t="s">
        <v>220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2" ht="16" customHeight="1" x14ac:dyDescent="0.35">
      <c r="A3" s="56"/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2" ht="28" customHeight="1" x14ac:dyDescent="0.35">
      <c r="A4" s="61" t="s">
        <v>221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2" x14ac:dyDescent="0.35">
      <c r="B5" s="48" t="s">
        <v>222</v>
      </c>
      <c r="C5" s="46"/>
      <c r="D5" s="46"/>
      <c r="E5" s="46"/>
      <c r="F5" s="46"/>
      <c r="G5" s="46"/>
      <c r="H5" s="46"/>
      <c r="I5" s="46"/>
      <c r="J5" s="46"/>
      <c r="K5" s="46"/>
    </row>
    <row r="6" spans="1:12" ht="22" customHeight="1" x14ac:dyDescent="0.35">
      <c r="B6" s="4" t="s">
        <v>25</v>
      </c>
      <c r="C6" s="49" t="s">
        <v>26</v>
      </c>
      <c r="D6" s="46"/>
      <c r="E6" s="46"/>
    </row>
    <row r="7" spans="1:12" ht="22" customHeight="1" x14ac:dyDescent="0.35">
      <c r="B7" s="4" t="s">
        <v>33</v>
      </c>
      <c r="C7" s="49" t="s">
        <v>34</v>
      </c>
      <c r="D7" s="46"/>
      <c r="E7" s="46"/>
    </row>
    <row r="8" spans="1:12" ht="22" customHeight="1" x14ac:dyDescent="0.35">
      <c r="B8" s="4" t="s">
        <v>223</v>
      </c>
      <c r="C8" s="49" t="s">
        <v>36</v>
      </c>
      <c r="D8" s="46"/>
      <c r="E8" s="46"/>
    </row>
    <row r="9" spans="1:12" ht="22" customHeight="1" x14ac:dyDescent="0.35">
      <c r="B9" s="4" t="s">
        <v>224</v>
      </c>
      <c r="C9" s="49" t="s">
        <v>36</v>
      </c>
      <c r="D9" s="46"/>
      <c r="E9" s="46"/>
    </row>
    <row r="10" spans="1:12" ht="22" customHeight="1" x14ac:dyDescent="0.35">
      <c r="B10" s="4" t="s">
        <v>225</v>
      </c>
      <c r="C10" s="49" t="s">
        <v>226</v>
      </c>
      <c r="D10" s="46"/>
      <c r="E10" s="46"/>
    </row>
    <row r="11" spans="1:12" ht="22" customHeight="1" x14ac:dyDescent="0.35">
      <c r="B11" s="4" t="s">
        <v>227</v>
      </c>
      <c r="C11" s="49" t="s">
        <v>36</v>
      </c>
      <c r="D11" s="46"/>
      <c r="E11" s="46"/>
    </row>
    <row r="13" spans="1:12" x14ac:dyDescent="0.35">
      <c r="B13" s="64" t="s">
        <v>228</v>
      </c>
      <c r="C13" s="46"/>
      <c r="D13" s="46"/>
      <c r="E13" s="46"/>
      <c r="F13" s="46"/>
      <c r="G13" s="46"/>
      <c r="H13" s="46"/>
      <c r="I13" s="46"/>
      <c r="J13" s="46"/>
      <c r="K13" s="46"/>
    </row>
    <row r="14" spans="1:12" ht="20" customHeight="1" x14ac:dyDescent="0.35">
      <c r="B14" s="54" t="s">
        <v>229</v>
      </c>
      <c r="C14" s="46"/>
      <c r="D14" s="65" t="s">
        <v>230</v>
      </c>
      <c r="E14" s="46"/>
      <c r="F14" s="66" t="s">
        <v>231</v>
      </c>
      <c r="G14" s="46"/>
      <c r="H14" s="67" t="s">
        <v>232</v>
      </c>
      <c r="I14" s="46"/>
      <c r="J14" s="63" t="s">
        <v>233</v>
      </c>
      <c r="K14" s="46"/>
      <c r="L14" s="32" t="s">
        <v>234</v>
      </c>
    </row>
    <row r="16" spans="1:12" x14ac:dyDescent="0.35">
      <c r="B16" s="48" t="s">
        <v>235</v>
      </c>
      <c r="C16" s="46"/>
      <c r="D16" s="46"/>
      <c r="E16" s="46"/>
      <c r="F16" s="46"/>
      <c r="G16" s="46"/>
      <c r="H16" s="46"/>
      <c r="I16" s="46"/>
      <c r="J16" s="46"/>
      <c r="K16" s="46"/>
    </row>
    <row r="17" spans="2:11" ht="26" customHeight="1" x14ac:dyDescent="0.35">
      <c r="B17" s="14" t="s">
        <v>50</v>
      </c>
      <c r="C17" s="58" t="s">
        <v>236</v>
      </c>
      <c r="D17" s="59"/>
      <c r="E17" s="14" t="s">
        <v>54</v>
      </c>
      <c r="F17" s="14" t="s">
        <v>237</v>
      </c>
      <c r="G17" s="14" t="s">
        <v>149</v>
      </c>
    </row>
    <row r="18" spans="2:11" ht="26" customHeight="1" x14ac:dyDescent="0.35">
      <c r="B18" s="12" t="s">
        <v>238</v>
      </c>
      <c r="C18" s="47" t="s">
        <v>239</v>
      </c>
      <c r="D18" s="46"/>
      <c r="E18" s="22"/>
      <c r="F18" s="22"/>
      <c r="G18" s="22"/>
      <c r="H18" s="22"/>
    </row>
    <row r="19" spans="2:11" ht="26" customHeight="1" x14ac:dyDescent="0.35">
      <c r="B19" s="13" t="s">
        <v>240</v>
      </c>
      <c r="C19" s="47" t="s">
        <v>241</v>
      </c>
      <c r="D19" s="46"/>
      <c r="E19" s="22"/>
      <c r="F19" s="22"/>
      <c r="G19" s="22"/>
      <c r="H19" s="22"/>
    </row>
    <row r="20" spans="2:11" ht="26" customHeight="1" x14ac:dyDescent="0.35">
      <c r="B20" s="12" t="s">
        <v>242</v>
      </c>
      <c r="C20" s="47" t="s">
        <v>243</v>
      </c>
      <c r="D20" s="46"/>
      <c r="E20" s="22"/>
      <c r="F20" s="22"/>
      <c r="G20" s="22"/>
      <c r="H20" s="22"/>
    </row>
    <row r="21" spans="2:11" ht="26" customHeight="1" x14ac:dyDescent="0.35">
      <c r="B21" s="13" t="s">
        <v>244</v>
      </c>
      <c r="C21" s="47" t="s">
        <v>245</v>
      </c>
      <c r="D21" s="46"/>
      <c r="E21" s="22"/>
      <c r="F21" s="22"/>
      <c r="G21" s="22"/>
      <c r="H21" s="22"/>
    </row>
    <row r="22" spans="2:11" ht="26" customHeight="1" x14ac:dyDescent="0.35">
      <c r="B22" s="12" t="s">
        <v>246</v>
      </c>
      <c r="C22" s="47" t="s">
        <v>247</v>
      </c>
      <c r="D22" s="46"/>
      <c r="E22" s="22"/>
      <c r="F22" s="22"/>
      <c r="G22" s="22"/>
      <c r="H22" s="22"/>
    </row>
    <row r="23" spans="2:11" ht="26" customHeight="1" x14ac:dyDescent="0.35">
      <c r="B23" s="13" t="s">
        <v>248</v>
      </c>
      <c r="C23" s="47" t="s">
        <v>249</v>
      </c>
      <c r="D23" s="46"/>
      <c r="E23" s="22"/>
      <c r="F23" s="22"/>
      <c r="G23" s="22"/>
      <c r="H23" s="22"/>
    </row>
    <row r="24" spans="2:11" ht="26" customHeight="1" x14ac:dyDescent="0.35">
      <c r="B24" s="12" t="s">
        <v>250</v>
      </c>
      <c r="C24" s="47" t="s">
        <v>251</v>
      </c>
      <c r="D24" s="46"/>
      <c r="E24" s="22"/>
      <c r="F24" s="22"/>
      <c r="G24" s="22"/>
      <c r="H24" s="22"/>
    </row>
    <row r="25" spans="2:11" ht="26" customHeight="1" x14ac:dyDescent="0.35">
      <c r="B25" s="13" t="s">
        <v>252</v>
      </c>
      <c r="C25" s="47" t="s">
        <v>253</v>
      </c>
      <c r="D25" s="46"/>
      <c r="E25" s="22"/>
      <c r="F25" s="22"/>
      <c r="G25" s="22"/>
      <c r="H25" s="22"/>
    </row>
    <row r="27" spans="2:11" ht="26" customHeight="1" x14ac:dyDescent="0.35">
      <c r="B27" s="48" t="s">
        <v>254</v>
      </c>
      <c r="C27" s="46"/>
      <c r="D27" s="46"/>
      <c r="E27" s="46"/>
      <c r="F27" s="46"/>
      <c r="G27" s="46"/>
      <c r="H27" s="46"/>
      <c r="I27" s="46"/>
      <c r="J27" s="46"/>
      <c r="K27" s="46"/>
    </row>
    <row r="28" spans="2:11" ht="30" customHeight="1" x14ac:dyDescent="0.35">
      <c r="B28" s="14" t="s">
        <v>255</v>
      </c>
      <c r="C28" s="14" t="s">
        <v>256</v>
      </c>
      <c r="D28" s="14" t="s">
        <v>257</v>
      </c>
      <c r="E28" s="14" t="s">
        <v>258</v>
      </c>
      <c r="F28" s="14" t="s">
        <v>259</v>
      </c>
      <c r="G28" s="14" t="s">
        <v>260</v>
      </c>
      <c r="H28" s="14" t="s">
        <v>261</v>
      </c>
      <c r="I28" s="14" t="s">
        <v>262</v>
      </c>
      <c r="J28" s="14" t="s">
        <v>149</v>
      </c>
      <c r="K28" s="14" t="s">
        <v>263</v>
      </c>
    </row>
    <row r="29" spans="2:11" ht="30" customHeight="1" x14ac:dyDescent="0.35">
      <c r="B29" s="33" t="s">
        <v>264</v>
      </c>
      <c r="C29" s="10" t="s">
        <v>265</v>
      </c>
      <c r="D29" s="11"/>
      <c r="E29" s="22"/>
      <c r="F29" s="22"/>
      <c r="G29" s="22"/>
      <c r="H29" s="22"/>
      <c r="I29" s="22" t="s">
        <v>266</v>
      </c>
      <c r="J29" s="31" t="s">
        <v>229</v>
      </c>
      <c r="K29" s="11"/>
    </row>
    <row r="30" spans="2:11" ht="30" customHeight="1" x14ac:dyDescent="0.35">
      <c r="B30" s="34" t="s">
        <v>267</v>
      </c>
      <c r="C30" s="10" t="s">
        <v>268</v>
      </c>
      <c r="D30" s="11"/>
      <c r="E30" s="22"/>
      <c r="F30" s="22"/>
      <c r="G30" s="22"/>
      <c r="H30" s="22"/>
      <c r="I30" s="22" t="s">
        <v>266</v>
      </c>
      <c r="J30" s="35" t="s">
        <v>229</v>
      </c>
      <c r="K30" s="11"/>
    </row>
    <row r="31" spans="2:11" ht="30" customHeight="1" x14ac:dyDescent="0.35">
      <c r="B31" s="33" t="s">
        <v>269</v>
      </c>
      <c r="C31" s="10" t="s">
        <v>270</v>
      </c>
      <c r="D31" s="11"/>
      <c r="E31" s="22"/>
      <c r="F31" s="22"/>
      <c r="G31" s="22"/>
      <c r="H31" s="22"/>
      <c r="I31" s="22" t="s">
        <v>266</v>
      </c>
      <c r="J31" s="31" t="s">
        <v>229</v>
      </c>
      <c r="K31" s="11"/>
    </row>
    <row r="32" spans="2:11" ht="30" customHeight="1" x14ac:dyDescent="0.35">
      <c r="B32" s="34" t="s">
        <v>271</v>
      </c>
      <c r="C32" s="10" t="s">
        <v>272</v>
      </c>
      <c r="D32" s="11"/>
      <c r="E32" s="22"/>
      <c r="F32" s="22"/>
      <c r="G32" s="22"/>
      <c r="H32" s="22"/>
      <c r="I32" s="22" t="s">
        <v>266</v>
      </c>
      <c r="J32" s="35" t="s">
        <v>229</v>
      </c>
      <c r="K32" s="11"/>
    </row>
    <row r="33" spans="2:11" ht="30" customHeight="1" x14ac:dyDescent="0.35">
      <c r="B33" s="33" t="s">
        <v>273</v>
      </c>
      <c r="C33" s="10" t="s">
        <v>274</v>
      </c>
      <c r="D33" s="11"/>
      <c r="E33" s="22"/>
      <c r="F33" s="22"/>
      <c r="G33" s="22"/>
      <c r="H33" s="22"/>
      <c r="I33" s="22" t="s">
        <v>266</v>
      </c>
      <c r="J33" s="31" t="s">
        <v>229</v>
      </c>
      <c r="K33" s="11"/>
    </row>
    <row r="34" spans="2:11" ht="30" customHeight="1" x14ac:dyDescent="0.35">
      <c r="B34" s="34" t="s">
        <v>275</v>
      </c>
      <c r="C34" s="10" t="s">
        <v>276</v>
      </c>
      <c r="D34" s="11"/>
      <c r="E34" s="22"/>
      <c r="F34" s="22"/>
      <c r="G34" s="22"/>
      <c r="H34" s="22"/>
      <c r="I34" s="22" t="s">
        <v>266</v>
      </c>
      <c r="J34" s="35" t="s">
        <v>229</v>
      </c>
      <c r="K34" s="11"/>
    </row>
    <row r="35" spans="2:11" ht="30" customHeight="1" x14ac:dyDescent="0.35">
      <c r="B35" s="33" t="s">
        <v>277</v>
      </c>
      <c r="C35" s="10" t="s">
        <v>278</v>
      </c>
      <c r="D35" s="11"/>
      <c r="E35" s="22"/>
      <c r="F35" s="22"/>
      <c r="G35" s="22"/>
      <c r="H35" s="22"/>
      <c r="I35" s="22" t="s">
        <v>266</v>
      </c>
      <c r="J35" s="31" t="s">
        <v>229</v>
      </c>
      <c r="K35" s="11"/>
    </row>
    <row r="36" spans="2:11" ht="30" customHeight="1" x14ac:dyDescent="0.35">
      <c r="B36" s="34" t="s">
        <v>279</v>
      </c>
      <c r="C36" s="10" t="s">
        <v>280</v>
      </c>
      <c r="D36" s="11"/>
      <c r="E36" s="22"/>
      <c r="F36" s="22"/>
      <c r="G36" s="22"/>
      <c r="H36" s="22"/>
      <c r="I36" s="22" t="s">
        <v>266</v>
      </c>
      <c r="J36" s="35" t="s">
        <v>229</v>
      </c>
      <c r="K36" s="11"/>
    </row>
    <row r="37" spans="2:11" ht="26" customHeight="1" x14ac:dyDescent="0.35">
      <c r="B37" s="53" t="s">
        <v>281</v>
      </c>
      <c r="C37" s="46"/>
      <c r="D37" s="46"/>
      <c r="E37" s="46"/>
      <c r="F37" s="46"/>
      <c r="G37" s="46"/>
      <c r="H37" s="46"/>
      <c r="I37" s="46"/>
      <c r="J37" s="46"/>
      <c r="K37" s="46"/>
    </row>
    <row r="38" spans="2:11" ht="30" customHeight="1" x14ac:dyDescent="0.35">
      <c r="B38" s="7" t="s">
        <v>255</v>
      </c>
      <c r="C38" s="7" t="s">
        <v>256</v>
      </c>
      <c r="D38" s="7" t="s">
        <v>257</v>
      </c>
      <c r="E38" s="7" t="s">
        <v>258</v>
      </c>
      <c r="F38" s="7" t="s">
        <v>259</v>
      </c>
      <c r="G38" s="7" t="s">
        <v>260</v>
      </c>
      <c r="H38" s="7" t="s">
        <v>261</v>
      </c>
      <c r="I38" s="7" t="s">
        <v>262</v>
      </c>
      <c r="J38" s="7" t="s">
        <v>149</v>
      </c>
      <c r="K38" s="7" t="s">
        <v>263</v>
      </c>
    </row>
    <row r="39" spans="2:11" ht="30" customHeight="1" x14ac:dyDescent="0.35">
      <c r="B39" s="12" t="s">
        <v>282</v>
      </c>
      <c r="C39" s="10" t="s">
        <v>265</v>
      </c>
      <c r="D39" s="11"/>
      <c r="E39" s="22"/>
      <c r="F39" s="22"/>
      <c r="G39" s="22"/>
      <c r="H39" s="22"/>
      <c r="I39" s="22" t="s">
        <v>266</v>
      </c>
      <c r="J39" s="31" t="s">
        <v>229</v>
      </c>
      <c r="K39" s="11"/>
    </row>
    <row r="40" spans="2:11" ht="30" customHeight="1" x14ac:dyDescent="0.35">
      <c r="B40" s="13" t="s">
        <v>283</v>
      </c>
      <c r="C40" s="10" t="s">
        <v>268</v>
      </c>
      <c r="D40" s="11"/>
      <c r="E40" s="22"/>
      <c r="F40" s="22"/>
      <c r="G40" s="22"/>
      <c r="H40" s="22"/>
      <c r="I40" s="22" t="s">
        <v>266</v>
      </c>
      <c r="J40" s="35" t="s">
        <v>229</v>
      </c>
      <c r="K40" s="11"/>
    </row>
    <row r="41" spans="2:11" ht="30" customHeight="1" x14ac:dyDescent="0.35">
      <c r="B41" s="12" t="s">
        <v>284</v>
      </c>
      <c r="C41" s="10" t="s">
        <v>270</v>
      </c>
      <c r="D41" s="11"/>
      <c r="E41" s="22"/>
      <c r="F41" s="22"/>
      <c r="G41" s="22"/>
      <c r="H41" s="22"/>
      <c r="I41" s="22" t="s">
        <v>266</v>
      </c>
      <c r="J41" s="31" t="s">
        <v>229</v>
      </c>
      <c r="K41" s="11"/>
    </row>
    <row r="42" spans="2:11" ht="30" customHeight="1" x14ac:dyDescent="0.35">
      <c r="B42" s="13" t="s">
        <v>285</v>
      </c>
      <c r="C42" s="10" t="s">
        <v>272</v>
      </c>
      <c r="D42" s="11"/>
      <c r="E42" s="22"/>
      <c r="F42" s="22"/>
      <c r="G42" s="22"/>
      <c r="H42" s="22"/>
      <c r="I42" s="22" t="s">
        <v>266</v>
      </c>
      <c r="J42" s="35" t="s">
        <v>229</v>
      </c>
      <c r="K42" s="11"/>
    </row>
    <row r="43" spans="2:11" ht="30" customHeight="1" x14ac:dyDescent="0.35">
      <c r="B43" s="12" t="s">
        <v>286</v>
      </c>
      <c r="C43" s="10" t="s">
        <v>274</v>
      </c>
      <c r="D43" s="11"/>
      <c r="E43" s="22"/>
      <c r="F43" s="22"/>
      <c r="G43" s="22"/>
      <c r="H43" s="22"/>
      <c r="I43" s="22" t="s">
        <v>266</v>
      </c>
      <c r="J43" s="31" t="s">
        <v>229</v>
      </c>
      <c r="K43" s="11"/>
    </row>
    <row r="44" spans="2:11" ht="30" customHeight="1" x14ac:dyDescent="0.35">
      <c r="B44" s="13" t="s">
        <v>287</v>
      </c>
      <c r="C44" s="10" t="s">
        <v>276</v>
      </c>
      <c r="D44" s="11"/>
      <c r="E44" s="22"/>
      <c r="F44" s="22"/>
      <c r="G44" s="22"/>
      <c r="H44" s="22"/>
      <c r="I44" s="22" t="s">
        <v>266</v>
      </c>
      <c r="J44" s="35" t="s">
        <v>229</v>
      </c>
      <c r="K44" s="11"/>
    </row>
    <row r="45" spans="2:11" ht="30" customHeight="1" x14ac:dyDescent="0.35">
      <c r="B45" s="12" t="s">
        <v>288</v>
      </c>
      <c r="C45" s="10" t="s">
        <v>278</v>
      </c>
      <c r="D45" s="11"/>
      <c r="E45" s="22"/>
      <c r="F45" s="22"/>
      <c r="G45" s="22"/>
      <c r="H45" s="22"/>
      <c r="I45" s="22" t="s">
        <v>266</v>
      </c>
      <c r="J45" s="31" t="s">
        <v>229</v>
      </c>
      <c r="K45" s="11"/>
    </row>
    <row r="46" spans="2:11" ht="30" customHeight="1" x14ac:dyDescent="0.35">
      <c r="B46" s="13" t="s">
        <v>289</v>
      </c>
      <c r="C46" s="10" t="s">
        <v>280</v>
      </c>
      <c r="D46" s="11"/>
      <c r="E46" s="22"/>
      <c r="F46" s="22"/>
      <c r="G46" s="22"/>
      <c r="H46" s="22"/>
      <c r="I46" s="22" t="s">
        <v>266</v>
      </c>
      <c r="J46" s="35" t="s">
        <v>229</v>
      </c>
      <c r="K46" s="11"/>
    </row>
    <row r="47" spans="2:11" ht="26" customHeight="1" x14ac:dyDescent="0.35">
      <c r="B47" s="55" t="s">
        <v>290</v>
      </c>
      <c r="C47" s="46"/>
      <c r="D47" s="46"/>
      <c r="E47" s="46"/>
      <c r="F47" s="46"/>
      <c r="G47" s="46"/>
      <c r="H47" s="46"/>
      <c r="I47" s="46"/>
      <c r="J47" s="46"/>
      <c r="K47" s="46"/>
    </row>
    <row r="48" spans="2:11" ht="30" customHeight="1" x14ac:dyDescent="0.35">
      <c r="B48" s="36" t="s">
        <v>255</v>
      </c>
      <c r="C48" s="36" t="s">
        <v>256</v>
      </c>
      <c r="D48" s="36" t="s">
        <v>257</v>
      </c>
      <c r="E48" s="36" t="s">
        <v>258</v>
      </c>
      <c r="F48" s="36" t="s">
        <v>259</v>
      </c>
      <c r="G48" s="36" t="s">
        <v>260</v>
      </c>
      <c r="H48" s="36" t="s">
        <v>261</v>
      </c>
      <c r="I48" s="36" t="s">
        <v>262</v>
      </c>
      <c r="J48" s="36" t="s">
        <v>149</v>
      </c>
      <c r="K48" s="36" t="s">
        <v>263</v>
      </c>
    </row>
    <row r="49" spans="2:11" ht="30" customHeight="1" x14ac:dyDescent="0.35">
      <c r="B49" s="37" t="s">
        <v>291</v>
      </c>
      <c r="C49" s="10" t="s">
        <v>265</v>
      </c>
      <c r="D49" s="11"/>
      <c r="E49" s="22"/>
      <c r="F49" s="22"/>
      <c r="G49" s="22"/>
      <c r="H49" s="22"/>
      <c r="I49" s="22" t="s">
        <v>266</v>
      </c>
      <c r="J49" s="31" t="s">
        <v>229</v>
      </c>
      <c r="K49" s="11"/>
    </row>
    <row r="50" spans="2:11" ht="30" customHeight="1" x14ac:dyDescent="0.35">
      <c r="B50" s="38" t="s">
        <v>292</v>
      </c>
      <c r="C50" s="10" t="s">
        <v>268</v>
      </c>
      <c r="D50" s="11"/>
      <c r="E50" s="22"/>
      <c r="F50" s="22"/>
      <c r="G50" s="22"/>
      <c r="H50" s="22"/>
      <c r="I50" s="22" t="s">
        <v>266</v>
      </c>
      <c r="J50" s="35" t="s">
        <v>229</v>
      </c>
      <c r="K50" s="11"/>
    </row>
    <row r="51" spans="2:11" ht="30" customHeight="1" x14ac:dyDescent="0.35">
      <c r="B51" s="37" t="s">
        <v>293</v>
      </c>
      <c r="C51" s="10" t="s">
        <v>270</v>
      </c>
      <c r="D51" s="11"/>
      <c r="E51" s="22"/>
      <c r="F51" s="22"/>
      <c r="G51" s="22"/>
      <c r="H51" s="22"/>
      <c r="I51" s="22" t="s">
        <v>266</v>
      </c>
      <c r="J51" s="31" t="s">
        <v>229</v>
      </c>
      <c r="K51" s="11"/>
    </row>
    <row r="52" spans="2:11" ht="30" customHeight="1" x14ac:dyDescent="0.35">
      <c r="B52" s="38" t="s">
        <v>294</v>
      </c>
      <c r="C52" s="10" t="s">
        <v>272</v>
      </c>
      <c r="D52" s="11"/>
      <c r="E52" s="22"/>
      <c r="F52" s="22"/>
      <c r="G52" s="22"/>
      <c r="H52" s="22"/>
      <c r="I52" s="22" t="s">
        <v>266</v>
      </c>
      <c r="J52" s="35" t="s">
        <v>229</v>
      </c>
      <c r="K52" s="11"/>
    </row>
    <row r="53" spans="2:11" ht="30" customHeight="1" x14ac:dyDescent="0.35">
      <c r="B53" s="37" t="s">
        <v>295</v>
      </c>
      <c r="C53" s="10" t="s">
        <v>274</v>
      </c>
      <c r="D53" s="11"/>
      <c r="E53" s="22"/>
      <c r="F53" s="22"/>
      <c r="G53" s="22"/>
      <c r="H53" s="22"/>
      <c r="I53" s="22" t="s">
        <v>266</v>
      </c>
      <c r="J53" s="31" t="s">
        <v>229</v>
      </c>
      <c r="K53" s="11"/>
    </row>
    <row r="54" spans="2:11" ht="30" customHeight="1" x14ac:dyDescent="0.35">
      <c r="B54" s="38" t="s">
        <v>296</v>
      </c>
      <c r="C54" s="10" t="s">
        <v>276</v>
      </c>
      <c r="D54" s="11"/>
      <c r="E54" s="22"/>
      <c r="F54" s="22"/>
      <c r="G54" s="22"/>
      <c r="H54" s="22"/>
      <c r="I54" s="22" t="s">
        <v>266</v>
      </c>
      <c r="J54" s="35" t="s">
        <v>229</v>
      </c>
      <c r="K54" s="11"/>
    </row>
    <row r="55" spans="2:11" ht="30" customHeight="1" x14ac:dyDescent="0.35">
      <c r="B55" s="37" t="s">
        <v>297</v>
      </c>
      <c r="C55" s="10" t="s">
        <v>278</v>
      </c>
      <c r="D55" s="11"/>
      <c r="E55" s="22"/>
      <c r="F55" s="22"/>
      <c r="G55" s="22"/>
      <c r="H55" s="22"/>
      <c r="I55" s="22" t="s">
        <v>266</v>
      </c>
      <c r="J55" s="31" t="s">
        <v>229</v>
      </c>
      <c r="K55" s="11"/>
    </row>
    <row r="56" spans="2:11" ht="30" customHeight="1" x14ac:dyDescent="0.35">
      <c r="B56" s="38" t="s">
        <v>298</v>
      </c>
      <c r="C56" s="10" t="s">
        <v>280</v>
      </c>
      <c r="D56" s="11"/>
      <c r="E56" s="22"/>
      <c r="F56" s="22"/>
      <c r="G56" s="22"/>
      <c r="H56" s="22"/>
      <c r="I56" s="22" t="s">
        <v>266</v>
      </c>
      <c r="J56" s="35" t="s">
        <v>229</v>
      </c>
      <c r="K56" s="11"/>
    </row>
    <row r="57" spans="2:11" ht="26" customHeight="1" x14ac:dyDescent="0.35">
      <c r="B57" s="62" t="s">
        <v>299</v>
      </c>
      <c r="C57" s="46"/>
      <c r="D57" s="46"/>
      <c r="E57" s="46"/>
      <c r="F57" s="46"/>
      <c r="G57" s="46"/>
      <c r="H57" s="46"/>
      <c r="I57" s="46"/>
      <c r="J57" s="46"/>
      <c r="K57" s="46"/>
    </row>
    <row r="58" spans="2:11" ht="30" customHeight="1" x14ac:dyDescent="0.35">
      <c r="B58" s="39" t="s">
        <v>255</v>
      </c>
      <c r="C58" s="39" t="s">
        <v>256</v>
      </c>
      <c r="D58" s="39" t="s">
        <v>257</v>
      </c>
      <c r="E58" s="39" t="s">
        <v>258</v>
      </c>
      <c r="F58" s="39" t="s">
        <v>259</v>
      </c>
      <c r="G58" s="39" t="s">
        <v>260</v>
      </c>
      <c r="H58" s="39" t="s">
        <v>261</v>
      </c>
      <c r="I58" s="39" t="s">
        <v>262</v>
      </c>
      <c r="J58" s="39" t="s">
        <v>149</v>
      </c>
      <c r="K58" s="39" t="s">
        <v>263</v>
      </c>
    </row>
    <row r="59" spans="2:11" ht="30" customHeight="1" x14ac:dyDescent="0.35">
      <c r="B59" s="40" t="s">
        <v>300</v>
      </c>
      <c r="C59" s="10" t="s">
        <v>265</v>
      </c>
      <c r="D59" s="11"/>
      <c r="E59" s="22"/>
      <c r="F59" s="22"/>
      <c r="G59" s="22"/>
      <c r="H59" s="22"/>
      <c r="I59" s="22" t="s">
        <v>266</v>
      </c>
      <c r="J59" s="31" t="s">
        <v>229</v>
      </c>
      <c r="K59" s="11"/>
    </row>
    <row r="60" spans="2:11" ht="30" customHeight="1" x14ac:dyDescent="0.35">
      <c r="B60" s="41" t="s">
        <v>301</v>
      </c>
      <c r="C60" s="10" t="s">
        <v>268</v>
      </c>
      <c r="D60" s="11"/>
      <c r="E60" s="22"/>
      <c r="F60" s="22"/>
      <c r="G60" s="22"/>
      <c r="H60" s="22"/>
      <c r="I60" s="22" t="s">
        <v>266</v>
      </c>
      <c r="J60" s="35" t="s">
        <v>229</v>
      </c>
      <c r="K60" s="11"/>
    </row>
    <row r="61" spans="2:11" ht="30" customHeight="1" x14ac:dyDescent="0.35">
      <c r="B61" s="40" t="s">
        <v>302</v>
      </c>
      <c r="C61" s="10" t="s">
        <v>270</v>
      </c>
      <c r="D61" s="11"/>
      <c r="E61" s="22"/>
      <c r="F61" s="22"/>
      <c r="G61" s="22"/>
      <c r="H61" s="22"/>
      <c r="I61" s="22" t="s">
        <v>266</v>
      </c>
      <c r="J61" s="31" t="s">
        <v>229</v>
      </c>
      <c r="K61" s="11"/>
    </row>
    <row r="62" spans="2:11" ht="30" customHeight="1" x14ac:dyDescent="0.35">
      <c r="B62" s="41" t="s">
        <v>303</v>
      </c>
      <c r="C62" s="10" t="s">
        <v>272</v>
      </c>
      <c r="D62" s="11"/>
      <c r="E62" s="22"/>
      <c r="F62" s="22"/>
      <c r="G62" s="22"/>
      <c r="H62" s="22"/>
      <c r="I62" s="22" t="s">
        <v>266</v>
      </c>
      <c r="J62" s="35" t="s">
        <v>229</v>
      </c>
      <c r="K62" s="11"/>
    </row>
    <row r="63" spans="2:11" ht="30" customHeight="1" x14ac:dyDescent="0.35">
      <c r="B63" s="40" t="s">
        <v>304</v>
      </c>
      <c r="C63" s="10" t="s">
        <v>274</v>
      </c>
      <c r="D63" s="11"/>
      <c r="E63" s="22"/>
      <c r="F63" s="22"/>
      <c r="G63" s="22"/>
      <c r="H63" s="22"/>
      <c r="I63" s="22" t="s">
        <v>266</v>
      </c>
      <c r="J63" s="31" t="s">
        <v>229</v>
      </c>
      <c r="K63" s="11"/>
    </row>
    <row r="64" spans="2:11" ht="30" customHeight="1" x14ac:dyDescent="0.35">
      <c r="B64" s="41" t="s">
        <v>305</v>
      </c>
      <c r="C64" s="10" t="s">
        <v>276</v>
      </c>
      <c r="D64" s="11"/>
      <c r="E64" s="22"/>
      <c r="F64" s="22"/>
      <c r="G64" s="22"/>
      <c r="H64" s="22"/>
      <c r="I64" s="22" t="s">
        <v>266</v>
      </c>
      <c r="J64" s="35" t="s">
        <v>229</v>
      </c>
      <c r="K64" s="11"/>
    </row>
    <row r="65" spans="2:11" ht="30" customHeight="1" x14ac:dyDescent="0.35">
      <c r="B65" s="40" t="s">
        <v>306</v>
      </c>
      <c r="C65" s="10" t="s">
        <v>278</v>
      </c>
      <c r="D65" s="11"/>
      <c r="E65" s="22"/>
      <c r="F65" s="22"/>
      <c r="G65" s="22"/>
      <c r="H65" s="22"/>
      <c r="I65" s="22" t="s">
        <v>266</v>
      </c>
      <c r="J65" s="31" t="s">
        <v>229</v>
      </c>
      <c r="K65" s="11"/>
    </row>
    <row r="66" spans="2:11" ht="30" customHeight="1" x14ac:dyDescent="0.35">
      <c r="B66" s="41" t="s">
        <v>307</v>
      </c>
      <c r="C66" s="10" t="s">
        <v>280</v>
      </c>
      <c r="D66" s="11"/>
      <c r="E66" s="22"/>
      <c r="F66" s="22"/>
      <c r="G66" s="22"/>
      <c r="H66" s="22"/>
      <c r="I66" s="22" t="s">
        <v>266</v>
      </c>
      <c r="J66" s="35" t="s">
        <v>229</v>
      </c>
      <c r="K66" s="11"/>
    </row>
    <row r="67" spans="2:11" ht="26" customHeight="1" x14ac:dyDescent="0.35">
      <c r="B67" s="60" t="s">
        <v>308</v>
      </c>
      <c r="C67" s="46"/>
      <c r="D67" s="46"/>
      <c r="E67" s="46"/>
      <c r="F67" s="46"/>
      <c r="G67" s="46"/>
      <c r="H67" s="46"/>
      <c r="I67" s="46"/>
      <c r="J67" s="46"/>
      <c r="K67" s="46"/>
    </row>
    <row r="68" spans="2:11" ht="30" customHeight="1" x14ac:dyDescent="0.35">
      <c r="B68" s="42" t="s">
        <v>255</v>
      </c>
      <c r="C68" s="42" t="s">
        <v>256</v>
      </c>
      <c r="D68" s="42" t="s">
        <v>257</v>
      </c>
      <c r="E68" s="42" t="s">
        <v>258</v>
      </c>
      <c r="F68" s="42" t="s">
        <v>259</v>
      </c>
      <c r="G68" s="42" t="s">
        <v>260</v>
      </c>
      <c r="H68" s="42" t="s">
        <v>261</v>
      </c>
      <c r="I68" s="42" t="s">
        <v>262</v>
      </c>
      <c r="J68" s="42" t="s">
        <v>149</v>
      </c>
      <c r="K68" s="42" t="s">
        <v>263</v>
      </c>
    </row>
    <row r="69" spans="2:11" ht="30" customHeight="1" x14ac:dyDescent="0.35">
      <c r="B69" s="43" t="s">
        <v>309</v>
      </c>
      <c r="C69" s="10" t="s">
        <v>265</v>
      </c>
      <c r="D69" s="11"/>
      <c r="E69" s="22"/>
      <c r="F69" s="22"/>
      <c r="G69" s="22"/>
      <c r="H69" s="22"/>
      <c r="I69" s="22" t="s">
        <v>266</v>
      </c>
      <c r="J69" s="31" t="s">
        <v>229</v>
      </c>
      <c r="K69" s="11"/>
    </row>
    <row r="70" spans="2:11" ht="30" customHeight="1" x14ac:dyDescent="0.35">
      <c r="B70" s="44" t="s">
        <v>310</v>
      </c>
      <c r="C70" s="10" t="s">
        <v>268</v>
      </c>
      <c r="D70" s="11"/>
      <c r="E70" s="22"/>
      <c r="F70" s="22"/>
      <c r="G70" s="22"/>
      <c r="H70" s="22"/>
      <c r="I70" s="22" t="s">
        <v>266</v>
      </c>
      <c r="J70" s="35" t="s">
        <v>229</v>
      </c>
      <c r="K70" s="11"/>
    </row>
    <row r="71" spans="2:11" ht="30" customHeight="1" x14ac:dyDescent="0.35">
      <c r="B71" s="43" t="s">
        <v>311</v>
      </c>
      <c r="C71" s="10" t="s">
        <v>270</v>
      </c>
      <c r="D71" s="11"/>
      <c r="E71" s="22"/>
      <c r="F71" s="22"/>
      <c r="G71" s="22"/>
      <c r="H71" s="22"/>
      <c r="I71" s="22" t="s">
        <v>266</v>
      </c>
      <c r="J71" s="31" t="s">
        <v>229</v>
      </c>
      <c r="K71" s="11"/>
    </row>
    <row r="72" spans="2:11" ht="30" customHeight="1" x14ac:dyDescent="0.35">
      <c r="B72" s="44" t="s">
        <v>312</v>
      </c>
      <c r="C72" s="10" t="s">
        <v>272</v>
      </c>
      <c r="D72" s="11"/>
      <c r="E72" s="22"/>
      <c r="F72" s="22"/>
      <c r="G72" s="22"/>
      <c r="H72" s="22"/>
      <c r="I72" s="22" t="s">
        <v>266</v>
      </c>
      <c r="J72" s="35" t="s">
        <v>229</v>
      </c>
      <c r="K72" s="11"/>
    </row>
    <row r="73" spans="2:11" ht="30" customHeight="1" x14ac:dyDescent="0.35">
      <c r="B73" s="43" t="s">
        <v>313</v>
      </c>
      <c r="C73" s="10" t="s">
        <v>274</v>
      </c>
      <c r="D73" s="11"/>
      <c r="E73" s="22"/>
      <c r="F73" s="22"/>
      <c r="G73" s="22"/>
      <c r="H73" s="22"/>
      <c r="I73" s="22" t="s">
        <v>266</v>
      </c>
      <c r="J73" s="31" t="s">
        <v>229</v>
      </c>
      <c r="K73" s="11"/>
    </row>
    <row r="74" spans="2:11" ht="30" customHeight="1" x14ac:dyDescent="0.35">
      <c r="B74" s="44" t="s">
        <v>314</v>
      </c>
      <c r="C74" s="10" t="s">
        <v>276</v>
      </c>
      <c r="D74" s="11"/>
      <c r="E74" s="22"/>
      <c r="F74" s="22"/>
      <c r="G74" s="22"/>
      <c r="H74" s="22"/>
      <c r="I74" s="22" t="s">
        <v>266</v>
      </c>
      <c r="J74" s="35" t="s">
        <v>229</v>
      </c>
      <c r="K74" s="11"/>
    </row>
    <row r="75" spans="2:11" x14ac:dyDescent="0.35">
      <c r="B75" s="53" t="s">
        <v>315</v>
      </c>
      <c r="C75" s="46"/>
      <c r="D75" s="46"/>
      <c r="E75" s="46"/>
      <c r="F75" s="46"/>
      <c r="G75" s="46"/>
      <c r="H75" s="46"/>
      <c r="I75" s="46"/>
      <c r="J75" s="46"/>
      <c r="K75" s="46"/>
    </row>
    <row r="76" spans="2:11" ht="26" customHeight="1" x14ac:dyDescent="0.35">
      <c r="B76" s="7" t="s">
        <v>316</v>
      </c>
      <c r="C76" s="7" t="s">
        <v>317</v>
      </c>
      <c r="D76" s="51" t="s">
        <v>318</v>
      </c>
      <c r="E76" s="52"/>
      <c r="F76" s="7" t="s">
        <v>319</v>
      </c>
      <c r="G76" s="7" t="s">
        <v>320</v>
      </c>
      <c r="H76" s="7" t="s">
        <v>321</v>
      </c>
    </row>
    <row r="77" spans="2:11" ht="26" customHeight="1" x14ac:dyDescent="0.35">
      <c r="B77" s="12" t="s">
        <v>322</v>
      </c>
      <c r="C77" s="11"/>
      <c r="D77" s="49"/>
      <c r="E77" s="50"/>
      <c r="F77" s="11"/>
      <c r="G77" s="11"/>
      <c r="H77" s="11"/>
      <c r="K77" s="11"/>
    </row>
    <row r="78" spans="2:11" ht="26" customHeight="1" x14ac:dyDescent="0.35">
      <c r="B78" s="13" t="s">
        <v>323</v>
      </c>
      <c r="C78" s="11"/>
      <c r="D78" s="49"/>
      <c r="E78" s="50"/>
      <c r="F78" s="11"/>
      <c r="G78" s="11"/>
      <c r="H78" s="11"/>
      <c r="K78" s="11"/>
    </row>
    <row r="79" spans="2:11" ht="26" customHeight="1" x14ac:dyDescent="0.35">
      <c r="B79" s="12" t="s">
        <v>324</v>
      </c>
      <c r="C79" s="11"/>
      <c r="D79" s="49"/>
      <c r="E79" s="50"/>
      <c r="F79" s="11"/>
      <c r="G79" s="11"/>
      <c r="H79" s="11"/>
      <c r="K79" s="11"/>
    </row>
    <row r="80" spans="2:11" ht="26" customHeight="1" x14ac:dyDescent="0.35">
      <c r="B80" s="13" t="s">
        <v>325</v>
      </c>
      <c r="C80" s="11"/>
      <c r="D80" s="49"/>
      <c r="E80" s="50"/>
      <c r="F80" s="11"/>
      <c r="G80" s="11"/>
      <c r="H80" s="11"/>
      <c r="K80" s="11"/>
    </row>
    <row r="81" spans="2:11" ht="26" customHeight="1" x14ac:dyDescent="0.35">
      <c r="B81" s="12" t="s">
        <v>326</v>
      </c>
      <c r="C81" s="11"/>
      <c r="D81" s="49"/>
      <c r="E81" s="50"/>
      <c r="F81" s="11"/>
      <c r="G81" s="11"/>
      <c r="H81" s="11"/>
      <c r="K81" s="11"/>
    </row>
    <row r="82" spans="2:11" ht="26" customHeight="1" x14ac:dyDescent="0.35">
      <c r="B82" s="13" t="s">
        <v>327</v>
      </c>
      <c r="C82" s="11"/>
      <c r="D82" s="49"/>
      <c r="E82" s="50"/>
      <c r="F82" s="11"/>
      <c r="G82" s="11"/>
      <c r="H82" s="11"/>
      <c r="K82" s="11"/>
    </row>
  </sheetData>
  <mergeCells count="40">
    <mergeCell ref="D82:E82"/>
    <mergeCell ref="B37:K37"/>
    <mergeCell ref="B13:K13"/>
    <mergeCell ref="C19:D19"/>
    <mergeCell ref="D14:E14"/>
    <mergeCell ref="F14:G14"/>
    <mergeCell ref="H14:I14"/>
    <mergeCell ref="D79:E79"/>
    <mergeCell ref="D81:E81"/>
    <mergeCell ref="D80:E80"/>
    <mergeCell ref="A3:K3"/>
    <mergeCell ref="D78:E78"/>
    <mergeCell ref="B27:K27"/>
    <mergeCell ref="A2:K2"/>
    <mergeCell ref="C17:D17"/>
    <mergeCell ref="C23:D23"/>
    <mergeCell ref="C6:E6"/>
    <mergeCell ref="B67:K67"/>
    <mergeCell ref="A4:K4"/>
    <mergeCell ref="B57:K57"/>
    <mergeCell ref="C10:E10"/>
    <mergeCell ref="C24:D24"/>
    <mergeCell ref="J14:K14"/>
    <mergeCell ref="C9:E9"/>
    <mergeCell ref="A1:K1"/>
    <mergeCell ref="C18:D18"/>
    <mergeCell ref="B5:K5"/>
    <mergeCell ref="C20:D20"/>
    <mergeCell ref="D77:E77"/>
    <mergeCell ref="C11:E11"/>
    <mergeCell ref="C25:D25"/>
    <mergeCell ref="D76:E76"/>
    <mergeCell ref="C8:E8"/>
    <mergeCell ref="B75:K75"/>
    <mergeCell ref="B14:C14"/>
    <mergeCell ref="C22:D22"/>
    <mergeCell ref="B47:K47"/>
    <mergeCell ref="B16:K16"/>
    <mergeCell ref="C7:E7"/>
    <mergeCell ref="C21:D21"/>
  </mergeCells>
  <dataValidations count="2">
    <dataValidation type="list" sqref="H18:H27 J69:J74 J59:J66 J49:J56 J39:J46 J29:J36" xr:uid="{00000000-0002-0000-0400-000000000000}">
      <formula1>"NOT STARTED,IN PROGRESS,AT RISK,DELAYED,COMPLETE,ON HOLD"</formula1>
    </dataValidation>
    <dataValidation type="list" sqref="I29:I36 I69:I74 I59:I66 I49:I56 I39:I46" xr:uid="{00000000-0002-0000-0400-000002000000}">
      <formula1>"0%,10%,20%,30%,40%,50%,60%,70%,80%,90%,100%"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📌 Instructions</vt:lpstr>
      <vt:lpstr>01 – Project Charter</vt:lpstr>
      <vt:lpstr>02 – Risk Register</vt:lpstr>
      <vt:lpstr>03 – Stakeholder Register</vt:lpstr>
      <vt:lpstr>04 – Implementation Schedule</vt:lpstr>
      <vt:lpstr>'01 – Project Charter'!Print_Area</vt:lpstr>
      <vt:lpstr>'02 – Risk Register'!Print_Area</vt:lpstr>
      <vt:lpstr>'03 – Stakeholder Register'!Print_Area</vt:lpstr>
      <vt:lpstr>'04 – Implementation Schedule'!Print_Area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Godwin Alorvor</cp:lastModifiedBy>
  <dcterms:created xsi:type="dcterms:W3CDTF">2026-06-09T14:23:20Z</dcterms:created>
  <dcterms:modified xsi:type="dcterms:W3CDTF">2026-06-11T10:41:57Z</dcterms:modified>
</cp:coreProperties>
</file>